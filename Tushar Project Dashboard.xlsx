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2e00f81ae5c7d955/Pictures/Project/"/>
    </mc:Choice>
  </mc:AlternateContent>
  <xr:revisionPtr revIDLastSave="30" documentId="8_{4847DE9B-34AA-470B-89D3-6AA828FD5F32}" xr6:coauthVersionLast="47" xr6:coauthVersionMax="47" xr10:uidLastSave="{12044062-1D00-4154-84C5-E58F8FA75DFC}"/>
  <bookViews>
    <workbookView xWindow="-93" yWindow="-93" windowWidth="21520" windowHeight="12800" firstSheet="1" activeTab="1" xr2:uid="{202AEA0C-7413-4436-9554-2E7CFFDADA96}"/>
  </bookViews>
  <sheets>
    <sheet name="Pivot Report" sheetId="1" r:id="rId1"/>
    <sheet name="Dashboard" sheetId="2" r:id="rId2"/>
    <sheet name="Daily ER No of Patient" sheetId="4" r:id="rId3"/>
    <sheet name="Average wait time daily trend" sheetId="6" r:id="rId4"/>
    <sheet name="Satisfaction score daily trends" sheetId="9" r:id="rId5"/>
  </sheets>
  <definedNames>
    <definedName name="Slicer_Date__Month">#N/A</definedName>
    <definedName name="Slicer_Date__Year">#N/A</definedName>
  </definedNames>
  <calcPr calcId="191029"/>
  <pivotCaches>
    <pivotCache cacheId="1453" r:id="rId6"/>
    <pivotCache cacheId="1456" r:id="rId7"/>
    <pivotCache cacheId="1459" r:id="rId8"/>
    <pivotCache cacheId="1462" r:id="rId9"/>
    <pivotCache cacheId="1465" r:id="rId10"/>
    <pivotCache cacheId="1468" r:id="rId11"/>
    <pivotCache cacheId="1471" r:id="rId12"/>
    <pivotCache cacheId="1474" r:id="rId13"/>
    <pivotCache cacheId="1477" r:id="rId14"/>
    <pivotCache cacheId="1480" r:id="rId15"/>
    <pivotCache cacheId="1483" r:id="rId16"/>
    <pivotCache cacheId="1486" r:id="rId17"/>
  </pivotCaches>
  <extLst>
    <ext xmlns:x14="http://schemas.microsoft.com/office/spreadsheetml/2009/9/main" uri="{876F7934-8845-4945-9796-88D515C7AA90}">
      <x14:pivotCaches>
        <pivotCache cacheId="984"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er _Table_72bf380b-ef2e-434c-8d44-73205c5a1c35" name="Calender _Table" connection="Query - Calender{_Table"/>
          <x15:modelTable id="Hospital Emergency Room Data  1_4299a207-f737-469b-8c6a-f4b82b6d8e7c" name="Hospital Emergency Room Data  1" connection="Query - Hospital Emergency Room Data (1"/>
        </x15:modelTables>
        <x15:modelRelationships>
          <x15:modelRelationship fromTable="Hospital Emergency Room Data  1" fromColumn="Patient Admission Date" toTable="Calender _Table" toColumn="Date"/>
        </x15:modelRelationships>
        <x15:extLst>
          <ext xmlns:x16="http://schemas.microsoft.com/office/spreadsheetml/2014/11/main" uri="{9835A34E-60A6-4A7C-AAB8-D5F71C897F49}">
            <x16:modelTimeGroupings>
              <x16:modelTimeGrouping tableName="Calender 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7" i="1" l="1"/>
  <c r="A47" i="1"/>
  <c r="B47" i="1"/>
  <c r="A46" i="1"/>
  <c r="B46" i="1"/>
  <c r="C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DC1121-42A9-454D-B42F-85640292702A}" name="Query - Calender{_Table" description="Connection to the 'Calender{_Table' query in the workbook." type="100" refreshedVersion="8" minRefreshableVersion="5">
    <extLst>
      <ext xmlns:x15="http://schemas.microsoft.com/office/spreadsheetml/2010/11/main" uri="{DE250136-89BD-433C-8126-D09CA5730AF9}">
        <x15:connection id="31f09a09-de1e-4168-8449-67c0afc37144"/>
      </ext>
    </extLst>
  </connection>
  <connection id="2" xr16:uid="{166DA8D0-1306-4F4A-830D-17A5EE79CA29}" name="Query - Hospital Emergency Room Data (1" description="Connection to the 'Hospital Emergency Room Data (1' query in the workbook." type="100" refreshedVersion="8" minRefreshableVersion="5">
    <extLst>
      <ext xmlns:x15="http://schemas.microsoft.com/office/spreadsheetml/2010/11/main" uri="{DE250136-89BD-433C-8126-D09CA5730AF9}">
        <x15:connection id="5668c517-e297-4117-bf08-c3bb251fb339"/>
      </ext>
    </extLst>
  </connection>
  <connection id="3" xr16:uid="{BC6A53B0-2A08-417D-886C-6568DB26797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<sst xmlns="http://schemas.openxmlformats.org/spreadsheetml/2006/main" count="156" uniqueCount="78">
  <si>
    <t>Distinct Count of Patient Id</t>
  </si>
  <si>
    <t>No of patient</t>
  </si>
  <si>
    <t>Average of Patient Waittime</t>
  </si>
  <si>
    <t>Average of Patient Satisfaction Score</t>
  </si>
  <si>
    <t>Row Labels</t>
  </si>
  <si>
    <t>Grand Total</t>
  </si>
  <si>
    <t xml:space="preserve"> Row labels</t>
  </si>
  <si>
    <t xml:space="preserve">                                                             </t>
  </si>
  <si>
    <t>Daily trends of no of patient</t>
  </si>
  <si>
    <t>Average wait time</t>
  </si>
  <si>
    <t>Female</t>
  </si>
  <si>
    <t>None</t>
  </si>
  <si>
    <t>Not Admitted</t>
  </si>
  <si>
    <t>0-09</t>
  </si>
  <si>
    <t>Delay</t>
  </si>
  <si>
    <t>Male</t>
  </si>
  <si>
    <t>10-19</t>
  </si>
  <si>
    <t>60-69</t>
  </si>
  <si>
    <t>Admitted</t>
  </si>
  <si>
    <t>50-59</t>
  </si>
  <si>
    <t>General Practice</t>
  </si>
  <si>
    <t>40-49</t>
  </si>
  <si>
    <t>Ontime</t>
  </si>
  <si>
    <t>20-29</t>
  </si>
  <si>
    <t>Orthopedics</t>
  </si>
  <si>
    <t>Neurology</t>
  </si>
  <si>
    <t>30-39</t>
  </si>
  <si>
    <t>70-79</t>
  </si>
  <si>
    <t>Use an area chart to track daily changes and highlight days with longer wait times that might need improvements.</t>
  </si>
  <si>
    <t>Use an area chart to show trends, spot drops in satisfaction, and link them to busy times or challeneges</t>
  </si>
  <si>
    <t xml:space="preserve"> challenges.</t>
  </si>
  <si>
    <t>Physiotherapy</t>
  </si>
  <si>
    <t>Cardiology</t>
  </si>
  <si>
    <t>Gastroenterology</t>
  </si>
  <si>
    <t>Renal</t>
  </si>
  <si>
    <t>Count of Patient attend status</t>
  </si>
  <si>
    <t>Count of Patient Admission Flag</t>
  </si>
  <si>
    <t>Count of Patient Admission Flag2</t>
  </si>
  <si>
    <t>Admission Status</t>
  </si>
  <si>
    <t>No of Patient</t>
  </si>
  <si>
    <t xml:space="preserve">% Status </t>
  </si>
  <si>
    <t>Count of Age Group</t>
  </si>
  <si>
    <t>Age Group wise analysis</t>
  </si>
  <si>
    <t>Count of Patient Gender</t>
  </si>
  <si>
    <t>Attendence  status</t>
  </si>
  <si>
    <t>Gender Wise</t>
  </si>
  <si>
    <t>Count of Department Referral</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</si>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</sst>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rgb="FF63A4F7"/>
        <bgColor indexed="64"/>
      </patternFill>
    </fill>
    <fill>
      <patternFill patternType="solid">
        <fgColor theme="0"/>
        <bgColor indexed="64"/>
      </patternFill>
    </fill>
  </fills>
  <borders count="2">
    <border>
      <left/>
      <right/>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2" fillId="3" borderId="0" xfId="0" applyFont="1" applyFill="1" applyAlignment="1">
      <alignment horizontal="left" vertical="center"/>
    </xf>
    <xf numFmtId="0" fontId="0" fillId="3" borderId="0" xfId="0" applyFill="1" applyAlignment="1">
      <alignment horizontal="left" vertical="center"/>
    </xf>
    <xf numFmtId="0" fontId="0" fillId="3" borderId="0" xfId="0" applyFill="1"/>
    <xf numFmtId="10" fontId="0" fillId="0" borderId="0" xfId="0" applyNumberFormat="1"/>
    <xf numFmtId="0" fontId="0" fillId="4" borderId="0" xfId="0" applyFill="1"/>
    <xf numFmtId="0" fontId="0" fillId="3" borderId="1" xfId="0" applyFill="1" applyBorder="1"/>
    <xf numFmtId="0" fontId="0" fillId="5" borderId="0" xfId="0" applyFill="1"/>
    <xf numFmtId="0" fontId="0" fillId="5" borderId="1" xfId="0" applyFill="1" applyBorder="1"/>
    <xf numFmtId="0" fontId="0" fillId="4" borderId="0" xfId="0" applyFill="1" applyAlignment="1">
      <alignment horizontal="center"/>
    </xf>
    <xf numFmtId="0" fontId="0" fillId="3" borderId="0" xfId="0" applyFill="1" applyAlignment="1">
      <alignment horizontal="center"/>
    </xf>
    <xf numFmtId="9" fontId="0" fillId="3" borderId="0" xfId="1" applyFont="1" applyFill="1" applyBorder="1" applyAlignment="1">
      <alignment horizontal="center"/>
    </xf>
    <xf numFmtId="0" fontId="0" fillId="3" borderId="1" xfId="0" applyFill="1" applyBorder="1" applyAlignment="1">
      <alignment horizontal="center"/>
    </xf>
    <xf numFmtId="10" fontId="0" fillId="3" borderId="1" xfId="0" applyNumberFormat="1" applyFill="1" applyBorder="1" applyAlignment="1">
      <alignment horizontal="center"/>
    </xf>
    <xf numFmtId="1" fontId="0" fillId="0" borderId="0" xfId="0" applyNumberFormat="1"/>
    <xf numFmtId="0" fontId="0" fillId="0" borderId="0" xfId="0" applyNumberFormat="1"/>
  </cellXfs>
  <cellStyles count="2">
    <cellStyle name="Normal" xfId="0" builtinId="0"/>
    <cellStyle name="Percent" xfId="1" builtinId="5"/>
  </cellStyles>
  <dxfs count="512">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2" formatCode="0.00"/>
    </dxf>
    <dxf>
      <numFmt numFmtId="2" formatCode="0.00"/>
    </dxf>
    <dxf>
      <font>
        <b/>
        <color theme="1"/>
      </font>
      <border>
        <bottom style="thin">
          <color theme="5"/>
        </bottom>
        <vertical/>
        <horizontal/>
      </border>
    </dxf>
    <dxf>
      <font>
        <sz val="7"/>
        <color theme="1"/>
      </font>
      <fill>
        <patternFill>
          <bgColor theme="0"/>
        </patternFill>
      </fill>
      <border diagonalUp="0" diagonalDown="0">
        <left/>
        <right/>
        <top/>
        <bottom/>
        <vertical/>
        <horizontal/>
      </border>
    </dxf>
  </dxfs>
  <tableStyles count="1" defaultTableStyle="TableStyleMedium2" defaultPivotStyle="PivotStyleLight16">
    <tableStyle name=" My Slicier" pivot="0" table="0" count="10" xr9:uid="{661CCD6E-E1B7-4485-95F9-04A7B9FED044}">
      <tableStyleElement type="wholeTable" dxfId="511"/>
      <tableStyleElement type="headerRow" dxfId="51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 My Slici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[Tushar Project Dashboard.xlsx]Pivot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52332806433519574"/>
                  <c:h val="0.2834797219574719"/>
                </c:manualLayout>
              </c15:layout>
              <c15:showDataLabelsRange val="1"/>
            </c:ext>
          </c:extLst>
        </c:dLbl>
      </c:pivotFmt>
      <c:pivotFmt>
        <c:idx val="3"/>
        <c:spPr>
          <a:solidFill>
            <a:schemeClr val="accent1"/>
          </a:solidFill>
          <a:ln>
            <a:noFill/>
          </a:ln>
          <a:effectLst/>
        </c:spPr>
        <c:dLbl>
          <c:idx val="0"/>
          <c:layout>
            <c:manualLayout>
              <c:x val="4.6255490563151494E-2"/>
              <c:y val="-2.608600092023531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52710238749093363"/>
                  <c:h val="0.2226702435337036"/>
                </c:manualLayout>
              </c15:layout>
              <c15:showDataLabelsRange val="1"/>
            </c:ext>
          </c:extLst>
        </c:dLbl>
      </c:pivotFmt>
    </c:pivotFmts>
    <c:plotArea>
      <c:layout>
        <c:manualLayout>
          <c:layoutTarget val="inner"/>
          <c:xMode val="edge"/>
          <c:yMode val="edge"/>
          <c:x val="6.4084406644556988E-2"/>
          <c:y val="0.23160967233049595"/>
          <c:w val="0.76736558071192873"/>
          <c:h val="0.71621606523519099"/>
        </c:manualLayout>
      </c:layout>
      <c:barChart>
        <c:barDir val="bar"/>
        <c:grouping val="clustered"/>
        <c:varyColors val="0"/>
        <c:ser>
          <c:idx val="0"/>
          <c:order val="0"/>
          <c:tx>
            <c:strRef>
              <c:f>'Pivot Report'!$C$39:$C$40</c:f>
              <c:strCache>
                <c:ptCount val="1"/>
                <c:pt idx="0">
                  <c:v>Count of Patient Admission Flag</c:v>
                </c:pt>
              </c:strCache>
            </c:strRef>
          </c:tx>
          <c:spPr>
            <a:solidFill>
              <a:schemeClr val="accent1"/>
            </a:solidFill>
            <a:ln>
              <a:noFill/>
            </a:ln>
            <a:effectLst/>
          </c:spPr>
          <c:invertIfNegative val="0"/>
          <c:dPt>
            <c:idx val="0"/>
            <c:invertIfNegative val="0"/>
            <c:bubble3D val="0"/>
          </c:dPt>
          <c:dPt>
            <c:idx val="1"/>
            <c:invertIfNegative val="0"/>
            <c:bubble3D val="0"/>
          </c:dPt>
          <c:dLbls>
            <c:dLbl>
              <c:idx val="0"/>
              <c:showLegendKey val="0"/>
              <c:showVal val="0"/>
              <c:showCatName val="0"/>
              <c:showSerName val="0"/>
              <c:showPercent val="0"/>
              <c:showBubbleSize val="0"/>
              <c:extLst>
                <c:ext xmlns:c15="http://schemas.microsoft.com/office/drawing/2012/chart" uri="{CE6537A1-D6FC-4f65-9D91-7224C49458BB}">
                  <c15:layout>
                    <c:manualLayout>
                      <c:w val="0.52332806433519574"/>
                      <c:h val="0.2834797219574719"/>
                    </c:manualLayout>
                  </c15:layout>
                  <c15:showDataLabelsRange val="1"/>
                </c:ext>
              </c:extLst>
            </c:dLbl>
            <c:dLbl>
              <c:idx val="1"/>
              <c:layout>
                <c:manualLayout>
                  <c:x val="4.6255490563151494E-2"/>
                  <c:y val="-2.608600092023531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52710238749093363"/>
                      <c:h val="0.2226702435337036"/>
                    </c:manualLayout>
                  </c15:layout>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Report'!$C$39:$C$40</c:f>
              <c:strCache>
                <c:ptCount val="2"/>
                <c:pt idx="0">
                  <c:v>Admitted</c:v>
                </c:pt>
                <c:pt idx="1">
                  <c:v>Not Admitted</c:v>
                </c:pt>
              </c:strCache>
            </c:strRef>
          </c:cat>
          <c:val>
            <c:numRef>
              <c:f>'Pivot Report'!$C$39:$C$40</c:f>
              <c:numCache>
                <c:formatCode>0.00</c:formatCode>
                <c:ptCount val="2"/>
                <c:pt idx="0">
                  <c:v>237</c:v>
                </c:pt>
                <c:pt idx="1">
                  <c:v>242</c:v>
                </c:pt>
              </c:numCache>
            </c:numRef>
          </c:val>
          <c:extLst>
            <c:ext xmlns:c16="http://schemas.microsoft.com/office/drawing/2014/chart" uri="{C3380CC4-5D6E-409C-BE32-E72D297353CC}">
              <c16:uniqueId val="{00000005-CF9E-4D24-8636-2E9F8E87142E}"/>
            </c:ext>
          </c:extLst>
        </c:ser>
        <c:ser>
          <c:idx val="1"/>
          <c:order val="1"/>
          <c:tx>
            <c:strRef>
              <c:f>'Pivot Report'!$C$39:$C$40</c:f>
              <c:strCache>
                <c:ptCount val="1"/>
                <c:pt idx="0">
                  <c:v>Count of Patient Admission Flag2</c:v>
                </c:pt>
              </c:strCache>
            </c:strRef>
          </c:tx>
          <c:spPr>
            <a:solidFill>
              <a:schemeClr val="accent2"/>
            </a:solidFill>
            <a:ln>
              <a:noFill/>
            </a:ln>
            <a:effectLst/>
          </c:spPr>
          <c:invertIfNegative val="0"/>
          <c:cat>
            <c:strRef>
              <c:f>'Pivot Report'!$C$39:$C$40</c:f>
              <c:strCache>
                <c:ptCount val="2"/>
                <c:pt idx="0">
                  <c:v>Admitted</c:v>
                </c:pt>
                <c:pt idx="1">
                  <c:v>Not Admitted</c:v>
                </c:pt>
              </c:strCache>
            </c:strRef>
          </c:cat>
          <c:val>
            <c:numRef>
              <c:f>'Pivot Report'!$C$39:$C$40</c:f>
              <c:numCache>
                <c:formatCode>0.00%</c:formatCode>
                <c:ptCount val="2"/>
                <c:pt idx="0">
                  <c:v>0.49478079331941544</c:v>
                </c:pt>
                <c:pt idx="1">
                  <c:v>0.50521920668058451</c:v>
                </c:pt>
              </c:numCache>
            </c:numRef>
          </c:val>
          <c:extLst>
            <c:ext xmlns:c16="http://schemas.microsoft.com/office/drawing/2014/chart" uri="{C3380CC4-5D6E-409C-BE32-E72D297353CC}">
              <c16:uniqueId val="{00000006-CF9E-4D24-8636-2E9F8E87142E}"/>
            </c:ext>
          </c:extLst>
        </c:ser>
        <c:dLbls>
          <c:showLegendKey val="0"/>
          <c:showVal val="0"/>
          <c:showCatName val="0"/>
          <c:showSerName val="0"/>
          <c:showPercent val="0"/>
          <c:showBubbleSize val="0"/>
        </c:dLbls>
        <c:gapWidth val="182"/>
        <c:axId val="231704864"/>
        <c:axId val="1649192016"/>
      </c:barChart>
      <c:catAx>
        <c:axId val="231704864"/>
        <c:scaling>
          <c:orientation val="minMax"/>
        </c:scaling>
        <c:delete val="1"/>
        <c:axPos val="l"/>
        <c:numFmt formatCode="General" sourceLinked="1"/>
        <c:majorTickMark val="none"/>
        <c:minorTickMark val="none"/>
        <c:tickLblPos val="nextTo"/>
        <c:crossAx val="1649192016"/>
        <c:crosses val="autoZero"/>
        <c:auto val="1"/>
        <c:lblAlgn val="ctr"/>
        <c:lblOffset val="100"/>
        <c:noMultiLvlLbl val="0"/>
      </c:catAx>
      <c:valAx>
        <c:axId val="1649192016"/>
        <c:scaling>
          <c:orientation val="minMax"/>
        </c:scaling>
        <c:delete val="1"/>
        <c:axPos val="b"/>
        <c:numFmt formatCode="0.00" sourceLinked="1"/>
        <c:majorTickMark val="none"/>
        <c:minorTickMark val="none"/>
        <c:tickLblPos val="nextTo"/>
        <c:crossAx val="23170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[Tushar Project Dashboard.xlsx]Pivot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5864532859086999"/>
          <c:w val="0.92194605064901536"/>
          <c:h val="0.60288349964324917"/>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Report'!$E$5:$E$35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2-6134-433F-8803-56F2ECD444C5}"/>
            </c:ext>
          </c:extLst>
        </c:ser>
        <c:dLbls>
          <c:showLegendKey val="0"/>
          <c:showVal val="0"/>
          <c:showCatName val="0"/>
          <c:showSerName val="0"/>
          <c:showPercent val="0"/>
          <c:showBubbleSize val="0"/>
        </c:dLbls>
        <c:axId val="18639808"/>
        <c:axId val="855549488"/>
      </c:areaChart>
      <c:catAx>
        <c:axId val="18639808"/>
        <c:scaling>
          <c:orientation val="minMax"/>
        </c:scaling>
        <c:delete val="1"/>
        <c:axPos val="b"/>
        <c:numFmt formatCode="General" sourceLinked="1"/>
        <c:majorTickMark val="out"/>
        <c:minorTickMark val="none"/>
        <c:tickLblPos val="nextTo"/>
        <c:crossAx val="855549488"/>
        <c:crosses val="autoZero"/>
        <c:auto val="1"/>
        <c:lblAlgn val="ctr"/>
        <c:lblOffset val="100"/>
        <c:noMultiLvlLbl val="0"/>
      </c:catAx>
      <c:valAx>
        <c:axId val="855549488"/>
        <c:scaling>
          <c:orientation val="minMax"/>
        </c:scaling>
        <c:delete val="1"/>
        <c:axPos val="l"/>
        <c:numFmt formatCode="General" sourceLinked="1"/>
        <c:majorTickMark val="none"/>
        <c:minorTickMark val="none"/>
        <c:tickLblPos val="nextTo"/>
        <c:crossAx val="18639808"/>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[Tushar Project Dashboard.xlsx]Pivot Report!PivotTable5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088848789054131E-3"/>
          <c:y val="0.36219488188976379"/>
          <c:w val="0.99089064174453167"/>
          <c:h val="0.63780484326914189"/>
        </c:manualLayout>
      </c:layout>
      <c:areaChart>
        <c:grouping val="standard"/>
        <c:varyColors val="0"/>
        <c:ser>
          <c:idx val="0"/>
          <c:order val="0"/>
          <c:tx>
            <c:strRef>
              <c:f>'Pivot Report'!$P$4</c:f>
              <c:strCache>
                <c:ptCount val="1"/>
                <c:pt idx="0">
                  <c:v>Total</c:v>
                </c:pt>
              </c:strCache>
            </c:strRef>
          </c:tx>
          <c:spPr>
            <a:solidFill>
              <a:schemeClr val="accent1"/>
            </a:solidFill>
            <a:ln w="25400">
              <a:noFill/>
            </a:ln>
            <a:effectLst/>
          </c:spPr>
          <c:cat>
            <c:strRef>
              <c:f>'Pivot Report'!$O$5:$O$35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Report'!$P$5:$P$35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2-0436-46EB-9041-11E20E9FCB75}"/>
            </c:ext>
          </c:extLst>
        </c:ser>
        <c:dLbls>
          <c:showLegendKey val="0"/>
          <c:showVal val="0"/>
          <c:showCatName val="0"/>
          <c:showSerName val="0"/>
          <c:showPercent val="0"/>
          <c:showBubbleSize val="0"/>
        </c:dLbls>
        <c:axId val="224328144"/>
        <c:axId val="855549008"/>
      </c:areaChart>
      <c:catAx>
        <c:axId val="224328144"/>
        <c:scaling>
          <c:orientation val="minMax"/>
        </c:scaling>
        <c:delete val="1"/>
        <c:axPos val="b"/>
        <c:numFmt formatCode="General" sourceLinked="1"/>
        <c:majorTickMark val="out"/>
        <c:minorTickMark val="none"/>
        <c:tickLblPos val="nextTo"/>
        <c:crossAx val="855549008"/>
        <c:crosses val="autoZero"/>
        <c:auto val="1"/>
        <c:lblAlgn val="ctr"/>
        <c:lblOffset val="100"/>
        <c:noMultiLvlLbl val="0"/>
      </c:catAx>
      <c:valAx>
        <c:axId val="855549008"/>
        <c:scaling>
          <c:orientation val="minMax"/>
        </c:scaling>
        <c:delete val="1"/>
        <c:axPos val="l"/>
        <c:numFmt formatCode="0.00" sourceLinked="1"/>
        <c:majorTickMark val="none"/>
        <c:minorTickMark val="none"/>
        <c:tickLblPos val="nextTo"/>
        <c:crossAx val="2243281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[Tushar Project Dashboard.xlsx]Pivot Report!PivotTable6</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4296738155381E-2"/>
          <c:y val="3.281653810796948E-2"/>
          <c:w val="0.92873307610970779"/>
          <c:h val="0.66519648047336688"/>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Report'!$K$5:$K$35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2-1875-432A-9DAB-0D3C93465B09}"/>
            </c:ext>
          </c:extLst>
        </c:ser>
        <c:dLbls>
          <c:showLegendKey val="0"/>
          <c:showVal val="0"/>
          <c:showCatName val="0"/>
          <c:showSerName val="0"/>
          <c:showPercent val="0"/>
          <c:showBubbleSize val="0"/>
        </c:dLbls>
        <c:axId val="39828528"/>
        <c:axId val="855599408"/>
      </c:areaChart>
      <c:catAx>
        <c:axId val="39828528"/>
        <c:scaling>
          <c:orientation val="minMax"/>
        </c:scaling>
        <c:delete val="1"/>
        <c:axPos val="b"/>
        <c:numFmt formatCode="General" sourceLinked="1"/>
        <c:majorTickMark val="out"/>
        <c:minorTickMark val="none"/>
        <c:tickLblPos val="nextTo"/>
        <c:crossAx val="855599408"/>
        <c:crosses val="autoZero"/>
        <c:auto val="1"/>
        <c:lblAlgn val="ctr"/>
        <c:lblOffset val="100"/>
        <c:noMultiLvlLbl val="0"/>
      </c:catAx>
      <c:valAx>
        <c:axId val="855599408"/>
        <c:scaling>
          <c:orientation val="minMax"/>
        </c:scaling>
        <c:delete val="1"/>
        <c:axPos val="l"/>
        <c:numFmt formatCode="0.00" sourceLinked="1"/>
        <c:majorTickMark val="none"/>
        <c:minorTickMark val="none"/>
        <c:tickLblPos val="nextTo"/>
        <c:crossAx val="398285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[Tushar Project Dashboard.xlsx]Pivot Report!PivotTable8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585468550697436E-2"/>
          <c:y val="0.10126202974628172"/>
          <c:w val="0.96241446106238082"/>
          <c:h val="0.56727143482064735"/>
        </c:manualLayout>
      </c:layout>
      <c:barChart>
        <c:barDir val="col"/>
        <c:grouping val="clustered"/>
        <c:varyColors val="0"/>
        <c:ser>
          <c:idx val="0"/>
          <c:order val="0"/>
          <c:tx>
            <c:strRef>
              <c:f>'Pivot Report'!$B$54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8"/>
                <c:pt idx="0">
                  <c:v>0-09</c:v>
                </c:pt>
                <c:pt idx="1">
                  <c:v>10-19</c:v>
                </c:pt>
                <c:pt idx="2">
                  <c:v>20-29</c:v>
                </c:pt>
                <c:pt idx="3">
                  <c:v>30-39</c:v>
                </c:pt>
                <c:pt idx="4">
                  <c:v>40-49</c:v>
                </c:pt>
                <c:pt idx="5">
                  <c:v>50-59</c:v>
                </c:pt>
                <c:pt idx="6">
                  <c:v>60-69</c:v>
                </c:pt>
                <c:pt idx="7">
                  <c:v>70-79</c:v>
                </c:pt>
              </c:strCache>
            </c:strRef>
          </c:cat>
          <c:val>
            <c:numRef>
              <c:f>'Pivot Report'!$B$55:$B$63</c:f>
              <c:numCache>
                <c:formatCode>0.00</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2-E7FB-471B-B8CF-867736FFF0CA}"/>
            </c:ext>
          </c:extLst>
        </c:ser>
        <c:dLbls>
          <c:showLegendKey val="0"/>
          <c:showVal val="0"/>
          <c:showCatName val="0"/>
          <c:showSerName val="0"/>
          <c:showPercent val="0"/>
          <c:showBubbleSize val="0"/>
        </c:dLbls>
        <c:gapWidth val="219"/>
        <c:overlap val="-27"/>
        <c:axId val="331170735"/>
        <c:axId val="554523407"/>
      </c:barChart>
      <c:catAx>
        <c:axId val="33117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523407"/>
        <c:crosses val="autoZero"/>
        <c:auto val="1"/>
        <c:lblAlgn val="ctr"/>
        <c:lblOffset val="100"/>
        <c:noMultiLvlLbl val="0"/>
      </c:catAx>
      <c:valAx>
        <c:axId val="554523407"/>
        <c:scaling>
          <c:orientation val="minMax"/>
        </c:scaling>
        <c:delete val="1"/>
        <c:axPos val="l"/>
        <c:numFmt formatCode="0.00" sourceLinked="1"/>
        <c:majorTickMark val="none"/>
        <c:minorTickMark val="none"/>
        <c:tickLblPos val="nextTo"/>
        <c:crossAx val="33117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[Tushar Project Dashboard.xlsx]Pivot Report!PivotTable9</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7260571595217264"/>
              <c:y val="-8.58937698577150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1407407407407403"/>
                  <c:h val="0.21903508771929825"/>
                </c:manualLayout>
              </c15:layout>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305872703412073"/>
              <c:y val="9.46656996822764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0481481481481478"/>
                  <c:h val="0.21903508771929825"/>
                </c:manualLayout>
              </c15:layout>
            </c:ext>
          </c:extLst>
        </c:dLbl>
      </c:pivotFmt>
    </c:pivotFmts>
    <c:plotArea>
      <c:layout>
        <c:manualLayout>
          <c:layoutTarget val="inner"/>
          <c:xMode val="edge"/>
          <c:yMode val="edge"/>
          <c:x val="0.20227325750947797"/>
          <c:y val="0.2712370493162039"/>
          <c:w val="0.67157334499854182"/>
          <c:h val="0.63622737947230279"/>
        </c:manualLayout>
      </c:layout>
      <c:pieChart>
        <c:varyColors val="1"/>
        <c:ser>
          <c:idx val="0"/>
          <c:order val="0"/>
          <c:tx>
            <c:strRef>
              <c:f>'Pivot Report'!$B$68</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dLbl>
              <c:idx val="0"/>
              <c:layout>
                <c:manualLayout>
                  <c:x val="-0.27260571595217264"/>
                  <c:y val="-8.5893769857715074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21407407407407403"/>
                      <c:h val="0.21903508771929825"/>
                    </c:manualLayout>
                  </c15:layout>
                </c:ext>
              </c:extLst>
            </c:dLbl>
            <c:dLbl>
              <c:idx val="1"/>
              <c:layout>
                <c:manualLayout>
                  <c:x val="0.2305872703412073"/>
                  <c:y val="9.4665699682276477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20481481481481478"/>
                      <c:h val="0.21903508771929825"/>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Delay</c:v>
                </c:pt>
                <c:pt idx="1">
                  <c:v>Ontime</c:v>
                </c:pt>
              </c:strCache>
            </c:strRef>
          </c:cat>
          <c:val>
            <c:numRef>
              <c:f>'Pivot Report'!$B$69:$B$71</c:f>
              <c:numCache>
                <c:formatCode>0</c:formatCode>
                <c:ptCount val="2"/>
                <c:pt idx="0">
                  <c:v>273</c:v>
                </c:pt>
                <c:pt idx="1">
                  <c:v>206</c:v>
                </c:pt>
              </c:numCache>
            </c:numRef>
          </c:val>
          <c:extLst>
            <c:ext xmlns:c16="http://schemas.microsoft.com/office/drawing/2014/chart" uri="{C3380CC4-5D6E-409C-BE32-E72D297353CC}">
              <c16:uniqueId val="{00000006-FC8E-496B-9D62-DA64767DD86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6.1081219014289881E-2"/>
          <c:y val="3.1056085094626328E-2"/>
          <c:w val="0.36108638486025019"/>
          <c:h val="0.2779613235974111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[Tushar Project Dashboard.xlsx]Pivot Report!PivotTable10</c:name>
    <c:fmtId val="32"/>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265143539542119"/>
          <c:y val="0.19757907008203016"/>
          <c:w val="0.78522493361197965"/>
          <c:h val="0.75416324486730091"/>
        </c:manualLayout>
      </c:layout>
      <c:doughnutChart>
        <c:varyColors val="1"/>
        <c:ser>
          <c:idx val="0"/>
          <c:order val="0"/>
          <c:tx>
            <c:strRef>
              <c:f>'Pivot Report'!$B$77</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Report'!$A$78:$A$80</c:f>
              <c:strCache>
                <c:ptCount val="2"/>
                <c:pt idx="0">
                  <c:v>Female</c:v>
                </c:pt>
                <c:pt idx="1">
                  <c:v>Male</c:v>
                </c:pt>
              </c:strCache>
            </c:strRef>
          </c:cat>
          <c:val>
            <c:numRef>
              <c:f>'Pivot Report'!$B$78:$B$80</c:f>
              <c:numCache>
                <c:formatCode>0.00</c:formatCode>
                <c:ptCount val="2"/>
                <c:pt idx="0">
                  <c:v>235</c:v>
                </c:pt>
                <c:pt idx="1">
                  <c:v>244</c:v>
                </c:pt>
              </c:numCache>
            </c:numRef>
          </c:val>
          <c:extLst>
            <c:ext xmlns:c16="http://schemas.microsoft.com/office/drawing/2014/chart" uri="{C3380CC4-5D6E-409C-BE32-E72D297353CC}">
              <c16:uniqueId val="{00000006-F745-47D5-9088-FB765CB831D7}"/>
            </c:ext>
          </c:extLst>
        </c:ser>
        <c:dLbls>
          <c:showLegendKey val="0"/>
          <c:showVal val="0"/>
          <c:showCatName val="0"/>
          <c:showSerName val="0"/>
          <c:showPercent val="1"/>
          <c:showBubbleSize val="0"/>
          <c:showLeaderLines val="1"/>
        </c:dLbls>
        <c:firstSliceAng val="0"/>
        <c:holeSize val="37"/>
      </c:doughnutChart>
      <c:spPr>
        <a:noFill/>
        <a:ln>
          <a:noFill/>
        </a:ln>
        <a:effectLst/>
      </c:spPr>
    </c:plotArea>
    <c:legend>
      <c:legendPos val="r"/>
      <c:layout>
        <c:manualLayout>
          <c:xMode val="edge"/>
          <c:yMode val="edge"/>
          <c:x val="0.15277651199698308"/>
          <c:y val="5.7832988057981939E-4"/>
          <c:w val="0.34389457077148888"/>
          <c:h val="0.4943356888857819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[Tushar Project Dashboard.xlsx]Pivot Report!PivotTable11</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12690474645185"/>
          <c:y val="8.6872091052026909E-2"/>
          <c:w val="0.72259006387334734"/>
          <c:h val="0.86220189679365022"/>
        </c:manualLayout>
      </c:layout>
      <c:barChart>
        <c:barDir val="bar"/>
        <c:grouping val="clustered"/>
        <c:varyColors val="0"/>
        <c:ser>
          <c:idx val="0"/>
          <c:order val="0"/>
          <c:tx>
            <c:strRef>
              <c:f>'Pivot Report'!$B$85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Report'!$A$86:$A$94</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Report'!$B$86:$B$94</c:f>
              <c:numCache>
                <c:formatCode>0</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2-E5D6-4D73-BE4C-B92AEF0A5C2F}"/>
            </c:ext>
          </c:extLst>
        </c:ser>
        <c:dLbls>
          <c:showLegendKey val="0"/>
          <c:showVal val="0"/>
          <c:showCatName val="0"/>
          <c:showSerName val="0"/>
          <c:showPercent val="0"/>
          <c:showBubbleSize val="0"/>
        </c:dLbls>
        <c:gapWidth val="88"/>
        <c:axId val="308986095"/>
        <c:axId val="554583407"/>
      </c:barChart>
      <c:catAx>
        <c:axId val="308986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54583407"/>
        <c:crosses val="autoZero"/>
        <c:auto val="1"/>
        <c:lblAlgn val="ctr"/>
        <c:lblOffset val="100"/>
        <c:noMultiLvlLbl val="0"/>
      </c:catAx>
      <c:valAx>
        <c:axId val="554583407"/>
        <c:scaling>
          <c:orientation val="minMax"/>
        </c:scaling>
        <c:delete val="1"/>
        <c:axPos val="b"/>
        <c:numFmt formatCode="0" sourceLinked="1"/>
        <c:majorTickMark val="none"/>
        <c:minorTickMark val="none"/>
        <c:tickLblPos val="nextTo"/>
        <c:crossAx val="30898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[Tushar Project Dashboard.xlsx]Pivot Report!PivotTable4</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027420620338616E-2"/>
          <c:y val="0.1097313981339569"/>
          <c:w val="0.94991299766773862"/>
          <c:h val="0.64414491974224197"/>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Report'!$E$5:$E$35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1-1F32-4B6B-8A41-73D6102AB43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639808"/>
        <c:axId val="855549488"/>
      </c:areaChart>
      <c:catAx>
        <c:axId val="1863980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55549488"/>
        <c:crosses val="autoZero"/>
        <c:auto val="1"/>
        <c:lblAlgn val="ctr"/>
        <c:lblOffset val="100"/>
        <c:noMultiLvlLbl val="0"/>
      </c:catAx>
      <c:valAx>
        <c:axId val="855549488"/>
        <c:scaling>
          <c:orientation val="minMax"/>
        </c:scaling>
        <c:delete val="1"/>
        <c:axPos val="l"/>
        <c:numFmt formatCode="General" sourceLinked="1"/>
        <c:majorTickMark val="out"/>
        <c:minorTickMark val="none"/>
        <c:tickLblPos val="nextTo"/>
        <c:crossAx val="18639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[Tushar Project Dashboard.xlsx]Pivot Report!PivotTable5</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088494318618922E-3"/>
          <c:y val="0.36219499247987258"/>
          <c:w val="0.99089064174453167"/>
          <c:h val="0.63780484326914189"/>
        </c:manualLayout>
      </c:layout>
      <c:areaChart>
        <c:grouping val="standard"/>
        <c:varyColors val="0"/>
        <c:ser>
          <c:idx val="0"/>
          <c:order val="0"/>
          <c:tx>
            <c:strRef>
              <c:f>'Pivot Report'!$P$4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Report'!$O$5:$O$35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Report'!$P$5:$P$35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1-225E-4AC9-93F8-9EF4837FBF8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24328144"/>
        <c:axId val="855549008"/>
      </c:areaChart>
      <c:catAx>
        <c:axId val="22432814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855549008"/>
        <c:crosses val="autoZero"/>
        <c:auto val="1"/>
        <c:lblAlgn val="ctr"/>
        <c:lblOffset val="100"/>
        <c:noMultiLvlLbl val="0"/>
      </c:catAx>
      <c:valAx>
        <c:axId val="855549008"/>
        <c:scaling>
          <c:orientation val="minMax"/>
        </c:scaling>
        <c:delete val="1"/>
        <c:axPos val="l"/>
        <c:numFmt formatCode="0.00" sourceLinked="1"/>
        <c:majorTickMark val="out"/>
        <c:minorTickMark val="none"/>
        <c:tickLblPos val="nextTo"/>
        <c:crossAx val="2243281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[Tushar Project Dashboard.xlsx]Pivot Report!PivotTable6</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361978254369209E-2"/>
          <c:y val="6.4285732363816753E-2"/>
          <c:w val="0.92873307610970779"/>
          <c:h val="0.79107136981759552"/>
        </c:manualLayout>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Report'!$K$5:$K$35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1-D5C6-4F1C-B482-E0F0882169C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9828528"/>
        <c:axId val="855599408"/>
      </c:areaChart>
      <c:catAx>
        <c:axId val="3982852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855599408"/>
        <c:crosses val="autoZero"/>
        <c:auto val="1"/>
        <c:lblAlgn val="ctr"/>
        <c:lblOffset val="100"/>
        <c:noMultiLvlLbl val="0"/>
      </c:catAx>
      <c:valAx>
        <c:axId val="855599408"/>
        <c:scaling>
          <c:orientation val="minMax"/>
        </c:scaling>
        <c:delete val="1"/>
        <c:axPos val="l"/>
        <c:numFmt formatCode="0.00" sourceLinked="1"/>
        <c:majorTickMark val="out"/>
        <c:minorTickMark val="none"/>
        <c:tickLblPos val="nextTo"/>
        <c:crossAx val="398285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753532</xdr:colOff>
      <xdr:row>44</xdr:row>
      <xdr:rowOff>76200</xdr:rowOff>
    </xdr:from>
    <xdr:to>
      <xdr:col>3</xdr:col>
      <xdr:colOff>927099</xdr:colOff>
      <xdr:row>47</xdr:row>
      <xdr:rowOff>16932</xdr:rowOff>
    </xdr:to>
    <xdr:graphicFrame macro="">
      <xdr:nvGraphicFramePr>
        <xdr:cNvPr id="7" name="Chart 6">
          <a:extLst>
            <a:ext uri="{FF2B5EF4-FFF2-40B4-BE49-F238E27FC236}">
              <a16:creationId xmlns:a16="http://schemas.microsoft.com/office/drawing/2014/main" id="{BF2B07AB-F1C6-50FE-304B-725F6C38D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75142</xdr:colOff>
      <xdr:row>0</xdr:row>
      <xdr:rowOff>104776</xdr:rowOff>
    </xdr:from>
    <xdr:to>
      <xdr:col>5</xdr:col>
      <xdr:colOff>55034</xdr:colOff>
      <xdr:row>4</xdr:row>
      <xdr:rowOff>10581</xdr:rowOff>
    </xdr:to>
    <xdr:sp macro="" textlink="">
      <xdr:nvSpPr>
        <xdr:cNvPr id="2" name="Rectangle: Rounded Corners 1">
          <a:extLst>
            <a:ext uri="{FF2B5EF4-FFF2-40B4-BE49-F238E27FC236}">
              <a16:creationId xmlns:a16="http://schemas.microsoft.com/office/drawing/2014/main" id="{7860185F-5972-043A-7257-D973245DCA34}"/>
            </a:ext>
          </a:extLst>
        </xdr:cNvPr>
        <xdr:cNvSpPr/>
      </xdr:nvSpPr>
      <xdr:spPr>
        <a:xfrm>
          <a:off x="75142" y="104776"/>
          <a:ext cx="3218392" cy="62970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hhhhhhhhfhfrhj\</a:t>
          </a:r>
          <a:r>
            <a:rPr lang="en-IN" sz="1100" baseline="0"/>
            <a:t> </a:t>
          </a:r>
          <a:endParaRPr lang="en-IN" sz="1100"/>
        </a:p>
      </xdr:txBody>
    </xdr:sp>
    <xdr:clientData/>
  </xdr:twoCellAnchor>
  <xdr:twoCellAnchor editAs="absolute">
    <xdr:from>
      <xdr:col>9</xdr:col>
      <xdr:colOff>324909</xdr:colOff>
      <xdr:row>0</xdr:row>
      <xdr:rowOff>115356</xdr:rowOff>
    </xdr:from>
    <xdr:to>
      <xdr:col>11</xdr:col>
      <xdr:colOff>483659</xdr:colOff>
      <xdr:row>8</xdr:row>
      <xdr:rowOff>114300</xdr:rowOff>
    </xdr:to>
    <xdr:sp macro="" textlink="">
      <xdr:nvSpPr>
        <xdr:cNvPr id="3" name="Rectangle: Rounded Corners 2">
          <a:extLst>
            <a:ext uri="{FF2B5EF4-FFF2-40B4-BE49-F238E27FC236}">
              <a16:creationId xmlns:a16="http://schemas.microsoft.com/office/drawing/2014/main" id="{3EB8B0D8-6ABE-4B6D-4063-235FE01A1183}"/>
            </a:ext>
          </a:extLst>
        </xdr:cNvPr>
        <xdr:cNvSpPr/>
      </xdr:nvSpPr>
      <xdr:spPr>
        <a:xfrm>
          <a:off x="6164087" y="115356"/>
          <a:ext cx="1445683" cy="1466499"/>
        </a:xfrm>
        <a:prstGeom prst="roundRect">
          <a:avLst>
            <a:gd name="adj" fmla="val 278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96309</xdr:colOff>
      <xdr:row>0</xdr:row>
      <xdr:rowOff>104775</xdr:rowOff>
    </xdr:from>
    <xdr:to>
      <xdr:col>7</xdr:col>
      <xdr:colOff>39158</xdr:colOff>
      <xdr:row>4</xdr:row>
      <xdr:rowOff>8464</xdr:rowOff>
    </xdr:to>
    <xdr:sp macro="" textlink="">
      <xdr:nvSpPr>
        <xdr:cNvPr id="4" name="Rectangle: Rounded Corners 3">
          <a:extLst>
            <a:ext uri="{FF2B5EF4-FFF2-40B4-BE49-F238E27FC236}">
              <a16:creationId xmlns:a16="http://schemas.microsoft.com/office/drawing/2014/main" id="{D90E5C0C-2AA7-2654-2E20-96ADFAECD86F}"/>
            </a:ext>
          </a:extLst>
        </xdr:cNvPr>
        <xdr:cNvSpPr/>
      </xdr:nvSpPr>
      <xdr:spPr>
        <a:xfrm>
          <a:off x="3313642" y="104775"/>
          <a:ext cx="1277761" cy="637467"/>
        </a:xfrm>
        <a:prstGeom prst="roundRect">
          <a:avLst>
            <a:gd name="adj" fmla="val 73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124883</xdr:colOff>
      <xdr:row>0</xdr:row>
      <xdr:rowOff>113241</xdr:rowOff>
    </xdr:from>
    <xdr:to>
      <xdr:col>9</xdr:col>
      <xdr:colOff>256117</xdr:colOff>
      <xdr:row>8</xdr:row>
      <xdr:rowOff>114300</xdr:rowOff>
    </xdr:to>
    <xdr:sp macro="" textlink="">
      <xdr:nvSpPr>
        <xdr:cNvPr id="5" name="Rectangle: Rounded Corners 4">
          <a:extLst>
            <a:ext uri="{FF2B5EF4-FFF2-40B4-BE49-F238E27FC236}">
              <a16:creationId xmlns:a16="http://schemas.microsoft.com/office/drawing/2014/main" id="{6C2DCB56-3636-1238-7D14-874F261EDC89}"/>
            </a:ext>
          </a:extLst>
        </xdr:cNvPr>
        <xdr:cNvSpPr/>
      </xdr:nvSpPr>
      <xdr:spPr>
        <a:xfrm>
          <a:off x="4677128" y="113241"/>
          <a:ext cx="1418167" cy="1468614"/>
        </a:xfrm>
        <a:prstGeom prst="roundRect">
          <a:avLst>
            <a:gd name="adj" fmla="val 28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55035</xdr:colOff>
      <xdr:row>4</xdr:row>
      <xdr:rowOff>95251</xdr:rowOff>
    </xdr:from>
    <xdr:to>
      <xdr:col>1</xdr:col>
      <xdr:colOff>198967</xdr:colOff>
      <xdr:row>17</xdr:row>
      <xdr:rowOff>76200</xdr:rowOff>
    </xdr:to>
    <xdr:sp macro="" textlink="">
      <xdr:nvSpPr>
        <xdr:cNvPr id="6" name="Rectangle: Rounded Corners 5">
          <a:extLst>
            <a:ext uri="{FF2B5EF4-FFF2-40B4-BE49-F238E27FC236}">
              <a16:creationId xmlns:a16="http://schemas.microsoft.com/office/drawing/2014/main" id="{2B9BE42F-B569-9D8A-A96D-EB6B6C7D978C}"/>
            </a:ext>
          </a:extLst>
        </xdr:cNvPr>
        <xdr:cNvSpPr/>
      </xdr:nvSpPr>
      <xdr:spPr>
        <a:xfrm>
          <a:off x="55035" y="823384"/>
          <a:ext cx="787399" cy="2347383"/>
        </a:xfrm>
        <a:prstGeom prst="roundRect">
          <a:avLst>
            <a:gd name="adj" fmla="val 699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266701</xdr:colOff>
      <xdr:row>4</xdr:row>
      <xdr:rowOff>92427</xdr:rowOff>
    </xdr:from>
    <xdr:to>
      <xdr:col>7</xdr:col>
      <xdr:colOff>21167</xdr:colOff>
      <xdr:row>8</xdr:row>
      <xdr:rowOff>138994</xdr:rowOff>
    </xdr:to>
    <xdr:grpSp>
      <xdr:nvGrpSpPr>
        <xdr:cNvPr id="12" name="Group 11">
          <a:extLst>
            <a:ext uri="{FF2B5EF4-FFF2-40B4-BE49-F238E27FC236}">
              <a16:creationId xmlns:a16="http://schemas.microsoft.com/office/drawing/2014/main" id="{01CB9DD5-FAF8-76E4-388A-092E27914566}"/>
            </a:ext>
          </a:extLst>
        </xdr:cNvPr>
        <xdr:cNvGrpSpPr/>
      </xdr:nvGrpSpPr>
      <xdr:grpSpPr>
        <a:xfrm>
          <a:off x="910772" y="818141"/>
          <a:ext cx="3664252" cy="772282"/>
          <a:chOff x="912285" y="740834"/>
          <a:chExt cx="3240615" cy="718607"/>
        </a:xfrm>
      </xdr:grpSpPr>
      <xdr:sp macro="" textlink="">
        <xdr:nvSpPr>
          <xdr:cNvPr id="7" name="Rectangle: Rounded Corners 6">
            <a:extLst>
              <a:ext uri="{FF2B5EF4-FFF2-40B4-BE49-F238E27FC236}">
                <a16:creationId xmlns:a16="http://schemas.microsoft.com/office/drawing/2014/main" id="{453198AF-FC00-840C-5E88-181C88BBE29F}"/>
              </a:ext>
            </a:extLst>
          </xdr:cNvPr>
          <xdr:cNvSpPr/>
        </xdr:nvSpPr>
        <xdr:spPr>
          <a:xfrm>
            <a:off x="912285" y="740834"/>
            <a:ext cx="1030815" cy="718607"/>
          </a:xfrm>
          <a:prstGeom prst="roundRect">
            <a:avLst>
              <a:gd name="adj" fmla="val 47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7EB7F2CF-3DFE-738C-326F-84A40BE976A8}"/>
              </a:ext>
            </a:extLst>
          </xdr:cNvPr>
          <xdr:cNvSpPr/>
        </xdr:nvSpPr>
        <xdr:spPr>
          <a:xfrm>
            <a:off x="2017185" y="742951"/>
            <a:ext cx="1030815" cy="713315"/>
          </a:xfrm>
          <a:prstGeom prst="roundRect">
            <a:avLst>
              <a:gd name="adj" fmla="val 355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33088002-F4C0-E7A6-A9F4-2A874A7EA180}"/>
              </a:ext>
            </a:extLst>
          </xdr:cNvPr>
          <xdr:cNvSpPr/>
        </xdr:nvSpPr>
        <xdr:spPr>
          <a:xfrm>
            <a:off x="3122085" y="740834"/>
            <a:ext cx="1030815" cy="716490"/>
          </a:xfrm>
          <a:prstGeom prst="roundRect">
            <a:avLst>
              <a:gd name="adj" fmla="val 179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xdr:col>
      <xdr:colOff>295275</xdr:colOff>
      <xdr:row>12</xdr:row>
      <xdr:rowOff>62441</xdr:rowOff>
    </xdr:from>
    <xdr:to>
      <xdr:col>7</xdr:col>
      <xdr:colOff>65617</xdr:colOff>
      <xdr:row>17</xdr:row>
      <xdr:rowOff>65615</xdr:rowOff>
    </xdr:to>
    <xdr:sp macro="" textlink="">
      <xdr:nvSpPr>
        <xdr:cNvPr id="13" name="Rectangle: Rounded Corners 12">
          <a:extLst>
            <a:ext uri="{FF2B5EF4-FFF2-40B4-BE49-F238E27FC236}">
              <a16:creationId xmlns:a16="http://schemas.microsoft.com/office/drawing/2014/main" id="{CFA203D4-8B85-AAA7-E0B1-18BE37FBED96}"/>
            </a:ext>
          </a:extLst>
        </xdr:cNvPr>
        <xdr:cNvSpPr/>
      </xdr:nvSpPr>
      <xdr:spPr>
        <a:xfrm>
          <a:off x="938742" y="2263774"/>
          <a:ext cx="3679120" cy="920396"/>
        </a:xfrm>
        <a:prstGeom prst="roundRect">
          <a:avLst>
            <a:gd name="adj" fmla="val 244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300918</xdr:colOff>
      <xdr:row>9</xdr:row>
      <xdr:rowOff>71967</xdr:rowOff>
    </xdr:from>
    <xdr:to>
      <xdr:col>7</xdr:col>
      <xdr:colOff>69144</xdr:colOff>
      <xdr:row>11</xdr:row>
      <xdr:rowOff>166157</xdr:rowOff>
    </xdr:to>
    <xdr:sp macro="" textlink="">
      <xdr:nvSpPr>
        <xdr:cNvPr id="14" name="Rectangle: Rounded Corners 13">
          <a:extLst>
            <a:ext uri="{FF2B5EF4-FFF2-40B4-BE49-F238E27FC236}">
              <a16:creationId xmlns:a16="http://schemas.microsoft.com/office/drawing/2014/main" id="{0783A802-03DE-26F5-D2D1-D926100B1DBE}"/>
            </a:ext>
          </a:extLst>
        </xdr:cNvPr>
        <xdr:cNvSpPr/>
      </xdr:nvSpPr>
      <xdr:spPr>
        <a:xfrm>
          <a:off x="944385" y="1722967"/>
          <a:ext cx="3677004" cy="461079"/>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65617</xdr:colOff>
      <xdr:row>16</xdr:row>
      <xdr:rowOff>152400</xdr:rowOff>
    </xdr:from>
    <xdr:to>
      <xdr:col>2</xdr:col>
      <xdr:colOff>142875</xdr:colOff>
      <xdr:row>17</xdr:row>
      <xdr:rowOff>9525</xdr:rowOff>
    </xdr:to>
    <xdr:cxnSp macro="">
      <xdr:nvCxnSpPr>
        <xdr:cNvPr id="23" name="Straight Connector 22">
          <a:extLst>
            <a:ext uri="{FF2B5EF4-FFF2-40B4-BE49-F238E27FC236}">
              <a16:creationId xmlns:a16="http://schemas.microsoft.com/office/drawing/2014/main" id="{0C241915-D238-E3E1-0DE1-34E6D1F026D6}"/>
            </a:ext>
          </a:extLst>
        </xdr:cNvPr>
        <xdr:cNvCxnSpPr/>
      </xdr:nvCxnSpPr>
      <xdr:spPr>
        <a:xfrm flipH="1" flipV="1">
          <a:off x="1361017" y="3048000"/>
          <a:ext cx="77258" cy="38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152400</xdr:colOff>
      <xdr:row>9</xdr:row>
      <xdr:rowOff>29634</xdr:rowOff>
    </xdr:from>
    <xdr:to>
      <xdr:col>11</xdr:col>
      <xdr:colOff>467783</xdr:colOff>
      <xdr:row>17</xdr:row>
      <xdr:rowOff>64559</xdr:rowOff>
    </xdr:to>
    <xdr:sp macro="" textlink="">
      <xdr:nvSpPr>
        <xdr:cNvPr id="29" name="Rectangle: Rounded Corners 28">
          <a:extLst>
            <a:ext uri="{FF2B5EF4-FFF2-40B4-BE49-F238E27FC236}">
              <a16:creationId xmlns:a16="http://schemas.microsoft.com/office/drawing/2014/main" id="{CD6DC246-13F1-16F5-C473-88E18D1B47C0}"/>
            </a:ext>
          </a:extLst>
        </xdr:cNvPr>
        <xdr:cNvSpPr/>
      </xdr:nvSpPr>
      <xdr:spPr>
        <a:xfrm>
          <a:off x="4704645" y="1680634"/>
          <a:ext cx="2889249" cy="1502480"/>
        </a:xfrm>
        <a:prstGeom prst="roundRect">
          <a:avLst>
            <a:gd name="adj" fmla="val 131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123826</xdr:colOff>
      <xdr:row>1</xdr:row>
      <xdr:rowOff>1059</xdr:rowOff>
    </xdr:from>
    <xdr:to>
      <xdr:col>4</xdr:col>
      <xdr:colOff>618068</xdr:colOff>
      <xdr:row>2</xdr:row>
      <xdr:rowOff>59266</xdr:rowOff>
    </xdr:to>
    <xdr:sp macro="" textlink="">
      <xdr:nvSpPr>
        <xdr:cNvPr id="31" name="TextBox 30">
          <a:extLst>
            <a:ext uri="{FF2B5EF4-FFF2-40B4-BE49-F238E27FC236}">
              <a16:creationId xmlns:a16="http://schemas.microsoft.com/office/drawing/2014/main" id="{58B7D10A-FB27-AC20-1B19-EF33CFE27B72}"/>
            </a:ext>
          </a:extLst>
        </xdr:cNvPr>
        <xdr:cNvSpPr txBox="1"/>
      </xdr:nvSpPr>
      <xdr:spPr>
        <a:xfrm>
          <a:off x="771526" y="182034"/>
          <a:ext cx="2437342" cy="23918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1200" b="1"/>
            <a:t>Hospital Emergency</a:t>
          </a:r>
          <a:r>
            <a:rPr lang="en-IN" sz="1200" b="1" baseline="0"/>
            <a:t> Room Dashboard</a:t>
          </a:r>
          <a:endParaRPr lang="en-IN" sz="1200" b="1"/>
        </a:p>
      </xdr:txBody>
    </xdr:sp>
    <xdr:clientData/>
  </xdr:twoCellAnchor>
  <xdr:twoCellAnchor editAs="oneCell">
    <xdr:from>
      <xdr:col>0</xdr:col>
      <xdr:colOff>0</xdr:colOff>
      <xdr:row>1</xdr:row>
      <xdr:rowOff>20111</xdr:rowOff>
    </xdr:from>
    <xdr:to>
      <xdr:col>1</xdr:col>
      <xdr:colOff>457200</xdr:colOff>
      <xdr:row>4</xdr:row>
      <xdr:rowOff>103718</xdr:rowOff>
    </xdr:to>
    <xdr:pic>
      <xdr:nvPicPr>
        <xdr:cNvPr id="33" name="Picture 32">
          <a:extLst>
            <a:ext uri="{FF2B5EF4-FFF2-40B4-BE49-F238E27FC236}">
              <a16:creationId xmlns:a16="http://schemas.microsoft.com/office/drawing/2014/main" id="{50B0D7E6-5DDD-B513-2D51-A0F18F7650F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382" t="6928" r="-13043" b="-2818"/>
        <a:stretch>
          <a:fillRect/>
        </a:stretch>
      </xdr:blipFill>
      <xdr:spPr>
        <a:xfrm>
          <a:off x="0" y="203556"/>
          <a:ext cx="1100667" cy="633940"/>
        </a:xfrm>
        <a:prstGeom prst="rect">
          <a:avLst/>
        </a:prstGeom>
      </xdr:spPr>
    </xdr:pic>
    <xdr:clientData/>
  </xdr:twoCellAnchor>
  <xdr:twoCellAnchor editAs="absolute">
    <xdr:from>
      <xdr:col>1</xdr:col>
      <xdr:colOff>153459</xdr:colOff>
      <xdr:row>2</xdr:row>
      <xdr:rowOff>67734</xdr:rowOff>
    </xdr:from>
    <xdr:to>
      <xdr:col>5</xdr:col>
      <xdr:colOff>1</xdr:colOff>
      <xdr:row>3</xdr:row>
      <xdr:rowOff>123824</xdr:rowOff>
    </xdr:to>
    <xdr:sp macro="" textlink="">
      <xdr:nvSpPr>
        <xdr:cNvPr id="34" name="TextBox 33">
          <a:extLst>
            <a:ext uri="{FF2B5EF4-FFF2-40B4-BE49-F238E27FC236}">
              <a16:creationId xmlns:a16="http://schemas.microsoft.com/office/drawing/2014/main" id="{66E496DA-B09E-5D78-11E6-5023196F913E}"/>
            </a:ext>
          </a:extLst>
        </xdr:cNvPr>
        <xdr:cNvSpPr txBox="1"/>
      </xdr:nvSpPr>
      <xdr:spPr>
        <a:xfrm>
          <a:off x="801159" y="429684"/>
          <a:ext cx="2437342" cy="23706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IN" sz="1100" b="0"/>
            <a:t>Monthly</a:t>
          </a:r>
          <a:r>
            <a:rPr lang="en-IN" sz="1100" b="0" baseline="0"/>
            <a:t> Report</a:t>
          </a:r>
          <a:endParaRPr lang="en-IN" sz="1100" b="0"/>
        </a:p>
      </xdr:txBody>
    </xdr:sp>
    <xdr:clientData/>
  </xdr:twoCellAnchor>
  <xdr:twoCellAnchor editAs="absolute">
    <xdr:from>
      <xdr:col>1</xdr:col>
      <xdr:colOff>398992</xdr:colOff>
      <xdr:row>6</xdr:row>
      <xdr:rowOff>48683</xdr:rowOff>
    </xdr:from>
    <xdr:to>
      <xdr:col>3</xdr:col>
      <xdr:colOff>57149</xdr:colOff>
      <xdr:row>7</xdr:row>
      <xdr:rowOff>47625</xdr:rowOff>
    </xdr:to>
    <xdr:sp macro="" textlink="">
      <xdr:nvSpPr>
        <xdr:cNvPr id="35" name="TextBox 34">
          <a:extLst>
            <a:ext uri="{FF2B5EF4-FFF2-40B4-BE49-F238E27FC236}">
              <a16:creationId xmlns:a16="http://schemas.microsoft.com/office/drawing/2014/main" id="{EDBCBB27-A3FF-B3BF-2887-1EB220905860}"/>
            </a:ext>
          </a:extLst>
        </xdr:cNvPr>
        <xdr:cNvSpPr txBox="1"/>
      </xdr:nvSpPr>
      <xdr:spPr>
        <a:xfrm>
          <a:off x="1046692" y="1134533"/>
          <a:ext cx="953557" cy="17991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IN" sz="800" b="1" baseline="0"/>
            <a:t>No of Patient</a:t>
          </a:r>
          <a:endParaRPr lang="en-IN" sz="800" b="1"/>
        </a:p>
      </xdr:txBody>
    </xdr:sp>
    <xdr:clientData/>
  </xdr:twoCellAnchor>
  <xdr:twoCellAnchor editAs="absolute">
    <xdr:from>
      <xdr:col>1</xdr:col>
      <xdr:colOff>379238</xdr:colOff>
      <xdr:row>5</xdr:row>
      <xdr:rowOff>34220</xdr:rowOff>
    </xdr:from>
    <xdr:to>
      <xdr:col>3</xdr:col>
      <xdr:colOff>28929</xdr:colOff>
      <xdr:row>6</xdr:row>
      <xdr:rowOff>35278</xdr:rowOff>
    </xdr:to>
    <xdr:sp macro="" textlink="'Pivot Report'!A5">
      <xdr:nvSpPr>
        <xdr:cNvPr id="37" name="TextBox 36">
          <a:extLst>
            <a:ext uri="{FF2B5EF4-FFF2-40B4-BE49-F238E27FC236}">
              <a16:creationId xmlns:a16="http://schemas.microsoft.com/office/drawing/2014/main" id="{D60352F6-F185-CFBF-F15E-34F0D9E7CADD}"/>
            </a:ext>
          </a:extLst>
        </xdr:cNvPr>
        <xdr:cNvSpPr txBox="1"/>
      </xdr:nvSpPr>
      <xdr:spPr>
        <a:xfrm>
          <a:off x="1022705" y="951442"/>
          <a:ext cx="936624" cy="18450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fld id="{932D89E5-F47D-4FDC-9ED2-E2874A2F3A6F}" type="TxLink">
            <a:rPr lang="en-US" sz="1100" b="0" i="0" u="none" strike="noStrike">
              <a:solidFill>
                <a:srgbClr val="000000"/>
              </a:solidFill>
              <a:latin typeface="Calibri"/>
              <a:ea typeface="Calibri"/>
              <a:cs typeface="Calibri"/>
            </a:rPr>
            <a:pPr algn="ctr"/>
            <a:t>479</a:t>
          </a:fld>
          <a:endParaRPr lang="en-US" sz="1100" b="0"/>
        </a:p>
      </xdr:txBody>
    </xdr:sp>
    <xdr:clientData/>
  </xdr:twoCellAnchor>
  <xdr:twoCellAnchor editAs="absolute">
    <xdr:from>
      <xdr:col>3</xdr:col>
      <xdr:colOff>152401</xdr:colOff>
      <xdr:row>6</xdr:row>
      <xdr:rowOff>45507</xdr:rowOff>
    </xdr:from>
    <xdr:to>
      <xdr:col>5</xdr:col>
      <xdr:colOff>20109</xdr:colOff>
      <xdr:row>7</xdr:row>
      <xdr:rowOff>84666</xdr:rowOff>
    </xdr:to>
    <xdr:sp macro="" textlink="">
      <xdr:nvSpPr>
        <xdr:cNvPr id="38" name="TextBox 37">
          <a:extLst>
            <a:ext uri="{FF2B5EF4-FFF2-40B4-BE49-F238E27FC236}">
              <a16:creationId xmlns:a16="http://schemas.microsoft.com/office/drawing/2014/main" id="{6201F91B-FC1A-DBF8-7371-47BBBCB5786A}"/>
            </a:ext>
          </a:extLst>
        </xdr:cNvPr>
        <xdr:cNvSpPr txBox="1"/>
      </xdr:nvSpPr>
      <xdr:spPr>
        <a:xfrm>
          <a:off x="2082801" y="1146174"/>
          <a:ext cx="1154641" cy="22260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IN" sz="800" b="1" baseline="0"/>
            <a:t>Average Wait Time</a:t>
          </a:r>
          <a:endParaRPr lang="en-IN" sz="800" b="1"/>
        </a:p>
      </xdr:txBody>
    </xdr:sp>
    <xdr:clientData/>
  </xdr:twoCellAnchor>
  <xdr:twoCellAnchor editAs="absolute">
    <xdr:from>
      <xdr:col>3</xdr:col>
      <xdr:colOff>259999</xdr:colOff>
      <xdr:row>5</xdr:row>
      <xdr:rowOff>45156</xdr:rowOff>
    </xdr:from>
    <xdr:to>
      <xdr:col>4</xdr:col>
      <xdr:colOff>555273</xdr:colOff>
      <xdr:row>6</xdr:row>
      <xdr:rowOff>46214</xdr:rowOff>
    </xdr:to>
    <xdr:sp macro="" textlink="'Pivot Report'!A9">
      <xdr:nvSpPr>
        <xdr:cNvPr id="39" name="TextBox 38">
          <a:extLst>
            <a:ext uri="{FF2B5EF4-FFF2-40B4-BE49-F238E27FC236}">
              <a16:creationId xmlns:a16="http://schemas.microsoft.com/office/drawing/2014/main" id="{176E209F-D292-3B99-6DB1-B07D61775718}"/>
            </a:ext>
          </a:extLst>
        </xdr:cNvPr>
        <xdr:cNvSpPr txBox="1"/>
      </xdr:nvSpPr>
      <xdr:spPr>
        <a:xfrm>
          <a:off x="2190399" y="962378"/>
          <a:ext cx="938741" cy="18450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fld id="{E4072A3C-98C2-47FB-94C5-068614D3248D}" type="TxLink">
            <a:rPr lang="en-US" sz="1100" b="0" i="0" u="none" strike="noStrike">
              <a:solidFill>
                <a:srgbClr val="000000"/>
              </a:solidFill>
              <a:latin typeface="Calibri"/>
              <a:ea typeface="Calibri"/>
              <a:cs typeface="Calibri"/>
            </a:rPr>
            <a:pPr algn="ctr"/>
            <a:t>34.90</a:t>
          </a:fld>
          <a:endParaRPr lang="en-US" sz="1100" b="0"/>
        </a:p>
      </xdr:txBody>
    </xdr:sp>
    <xdr:clientData/>
  </xdr:twoCellAnchor>
  <xdr:twoCellAnchor editAs="absolute">
    <xdr:from>
      <xdr:col>5</xdr:col>
      <xdr:colOff>228600</xdr:colOff>
      <xdr:row>6</xdr:row>
      <xdr:rowOff>47624</xdr:rowOff>
    </xdr:from>
    <xdr:to>
      <xdr:col>6</xdr:col>
      <xdr:colOff>684741</xdr:colOff>
      <xdr:row>7</xdr:row>
      <xdr:rowOff>95250</xdr:rowOff>
    </xdr:to>
    <xdr:sp macro="" textlink="">
      <xdr:nvSpPr>
        <xdr:cNvPr id="40" name="TextBox 39">
          <a:extLst>
            <a:ext uri="{FF2B5EF4-FFF2-40B4-BE49-F238E27FC236}">
              <a16:creationId xmlns:a16="http://schemas.microsoft.com/office/drawing/2014/main" id="{EEE95793-B6F2-46EC-F14A-DAF0A921DF64}"/>
            </a:ext>
          </a:extLst>
        </xdr:cNvPr>
        <xdr:cNvSpPr txBox="1"/>
      </xdr:nvSpPr>
      <xdr:spPr>
        <a:xfrm>
          <a:off x="3467100" y="1133474"/>
          <a:ext cx="1103841" cy="22860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IN" sz="800" b="1" baseline="0"/>
            <a:t>Patient Satisfaction Score</a:t>
          </a:r>
          <a:endParaRPr lang="en-IN" sz="800" b="1"/>
        </a:p>
      </xdr:txBody>
    </xdr:sp>
    <xdr:clientData/>
  </xdr:twoCellAnchor>
  <xdr:twoCellAnchor editAs="absolute">
    <xdr:from>
      <xdr:col>5</xdr:col>
      <xdr:colOff>236363</xdr:colOff>
      <xdr:row>5</xdr:row>
      <xdr:rowOff>32103</xdr:rowOff>
    </xdr:from>
    <xdr:to>
      <xdr:col>6</xdr:col>
      <xdr:colOff>534812</xdr:colOff>
      <xdr:row>6</xdr:row>
      <xdr:rowOff>33161</xdr:rowOff>
    </xdr:to>
    <xdr:sp macro="" textlink="'Pivot Report'!A12">
      <xdr:nvSpPr>
        <xdr:cNvPr id="41" name="TextBox 40">
          <a:extLst>
            <a:ext uri="{FF2B5EF4-FFF2-40B4-BE49-F238E27FC236}">
              <a16:creationId xmlns:a16="http://schemas.microsoft.com/office/drawing/2014/main" id="{6E1C8980-A5C3-246B-4813-26C34F2DBF29}"/>
            </a:ext>
          </a:extLst>
        </xdr:cNvPr>
        <xdr:cNvSpPr txBox="1"/>
      </xdr:nvSpPr>
      <xdr:spPr>
        <a:xfrm>
          <a:off x="3453696" y="949325"/>
          <a:ext cx="941916" cy="18450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fld id="{B7AF1E1F-E07D-4DE7-8895-A1890B092E3E}" type="TxLink">
            <a:rPr lang="en-US" sz="1100" b="0" i="0" u="none" strike="noStrike">
              <a:solidFill>
                <a:srgbClr val="000000"/>
              </a:solidFill>
              <a:latin typeface="Calibri"/>
              <a:ea typeface="Calibri"/>
              <a:cs typeface="Calibri"/>
            </a:rPr>
            <a:pPr algn="ctr"/>
            <a:t>5.30</a:t>
          </a:fld>
          <a:endParaRPr lang="en-US" sz="1100" b="0"/>
        </a:p>
      </xdr:txBody>
    </xdr:sp>
    <xdr:clientData/>
  </xdr:twoCellAnchor>
  <xdr:twoCellAnchor editAs="oneCell">
    <xdr:from>
      <xdr:col>2</xdr:col>
      <xdr:colOff>483660</xdr:colOff>
      <xdr:row>4</xdr:row>
      <xdr:rowOff>105480</xdr:rowOff>
    </xdr:from>
    <xdr:to>
      <xdr:col>3</xdr:col>
      <xdr:colOff>143608</xdr:colOff>
      <xdr:row>6</xdr:row>
      <xdr:rowOff>48328</xdr:rowOff>
    </xdr:to>
    <xdr:pic>
      <xdr:nvPicPr>
        <xdr:cNvPr id="43" name="Graphic 42" descr="Male profile with solid fill">
          <a:extLst>
            <a:ext uri="{FF2B5EF4-FFF2-40B4-BE49-F238E27FC236}">
              <a16:creationId xmlns:a16="http://schemas.microsoft.com/office/drawing/2014/main" id="{061798A2-7118-5BFD-3C23-2EDB2645DBA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70593" y="839258"/>
          <a:ext cx="303415" cy="309737"/>
        </a:xfrm>
        <a:prstGeom prst="rect">
          <a:avLst/>
        </a:prstGeom>
      </xdr:spPr>
    </xdr:pic>
    <xdr:clientData/>
  </xdr:twoCellAnchor>
  <xdr:twoCellAnchor editAs="oneCell">
    <xdr:from>
      <xdr:col>6</xdr:col>
      <xdr:colOff>391583</xdr:colOff>
      <xdr:row>4</xdr:row>
      <xdr:rowOff>103691</xdr:rowOff>
    </xdr:from>
    <xdr:to>
      <xdr:col>7</xdr:col>
      <xdr:colOff>19050</xdr:colOff>
      <xdr:row>6</xdr:row>
      <xdr:rowOff>58208</xdr:rowOff>
    </xdr:to>
    <xdr:pic>
      <xdr:nvPicPr>
        <xdr:cNvPr id="45" name="Graphic 44" descr="Customer review with solid fill">
          <a:extLst>
            <a:ext uri="{FF2B5EF4-FFF2-40B4-BE49-F238E27FC236}">
              <a16:creationId xmlns:a16="http://schemas.microsoft.com/office/drawing/2014/main" id="{29FF9F04-DF28-7168-B01F-87E97A4CBD7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277783" y="827591"/>
          <a:ext cx="313267" cy="316467"/>
        </a:xfrm>
        <a:prstGeom prst="rect">
          <a:avLst/>
        </a:prstGeom>
      </xdr:spPr>
    </xdr:pic>
    <xdr:clientData/>
  </xdr:twoCellAnchor>
  <xdr:twoCellAnchor editAs="oneCell">
    <xdr:from>
      <xdr:col>4</xdr:col>
      <xdr:colOff>389132</xdr:colOff>
      <xdr:row>4</xdr:row>
      <xdr:rowOff>115357</xdr:rowOff>
    </xdr:from>
    <xdr:to>
      <xdr:col>5</xdr:col>
      <xdr:colOff>28575</xdr:colOff>
      <xdr:row>6</xdr:row>
      <xdr:rowOff>37039</xdr:rowOff>
    </xdr:to>
    <xdr:pic>
      <xdr:nvPicPr>
        <xdr:cNvPr id="47" name="Graphic 46" descr="Hourglass Finished with solid fill">
          <a:extLst>
            <a:ext uri="{FF2B5EF4-FFF2-40B4-BE49-F238E27FC236}">
              <a16:creationId xmlns:a16="http://schemas.microsoft.com/office/drawing/2014/main" id="{1FA7E99F-1D61-88F7-2F2E-DB1A0361B4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979932" y="839257"/>
          <a:ext cx="287143" cy="283632"/>
        </a:xfrm>
        <a:prstGeom prst="rect">
          <a:avLst/>
        </a:prstGeom>
      </xdr:spPr>
    </xdr:pic>
    <xdr:clientData/>
  </xdr:twoCellAnchor>
  <xdr:twoCellAnchor editAs="oneCell">
    <xdr:from>
      <xdr:col>0</xdr:col>
      <xdr:colOff>126999</xdr:colOff>
      <xdr:row>4</xdr:row>
      <xdr:rowOff>122767</xdr:rowOff>
    </xdr:from>
    <xdr:to>
      <xdr:col>1</xdr:col>
      <xdr:colOff>158982</xdr:colOff>
      <xdr:row>17</xdr:row>
      <xdr:rowOff>59266</xdr:rowOff>
    </xdr:to>
    <mc:AlternateContent xmlns:mc="http://schemas.openxmlformats.org/markup-compatibility/2006" xmlns:a14="http://schemas.microsoft.com/office/drawing/2010/main">
      <mc:Choice Requires="a14">
        <xdr:graphicFrame macro="">
          <xdr:nvGraphicFramePr>
            <xdr:cNvPr id="16" name="Date (Month) 1">
              <a:extLst>
                <a:ext uri="{FF2B5EF4-FFF2-40B4-BE49-F238E27FC236}">
                  <a16:creationId xmlns:a16="http://schemas.microsoft.com/office/drawing/2014/main" id="{5512CA72-67EF-4C02-A5CD-1B8C8F7ADC3E}"/>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26999" y="856545"/>
              <a:ext cx="675450" cy="2321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282222</xdr:colOff>
      <xdr:row>6</xdr:row>
      <xdr:rowOff>166511</xdr:rowOff>
    </xdr:from>
    <xdr:to>
      <xdr:col>3</xdr:col>
      <xdr:colOff>231422</xdr:colOff>
      <xdr:row>9</xdr:row>
      <xdr:rowOff>59267</xdr:rowOff>
    </xdr:to>
    <xdr:graphicFrame macro="">
      <xdr:nvGraphicFramePr>
        <xdr:cNvPr id="18" name="Chart 17">
          <a:hlinkClick xmlns:r="http://schemas.openxmlformats.org/officeDocument/2006/relationships" r:id="rId8"/>
          <a:extLst>
            <a:ext uri="{FF2B5EF4-FFF2-40B4-BE49-F238E27FC236}">
              <a16:creationId xmlns:a16="http://schemas.microsoft.com/office/drawing/2014/main" id="{29ECEAD2-75ED-FA15-F15F-03DDF9138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220134</xdr:colOff>
      <xdr:row>7</xdr:row>
      <xdr:rowOff>22578</xdr:rowOff>
    </xdr:from>
    <xdr:to>
      <xdr:col>5</xdr:col>
      <xdr:colOff>101600</xdr:colOff>
      <xdr:row>8</xdr:row>
      <xdr:rowOff>143934</xdr:rowOff>
    </xdr:to>
    <xdr:graphicFrame macro="">
      <xdr:nvGraphicFramePr>
        <xdr:cNvPr id="21" name="Chart 20">
          <a:hlinkClick xmlns:r="http://schemas.openxmlformats.org/officeDocument/2006/relationships" r:id="rId10"/>
          <a:extLst>
            <a:ext uri="{FF2B5EF4-FFF2-40B4-BE49-F238E27FC236}">
              <a16:creationId xmlns:a16="http://schemas.microsoft.com/office/drawing/2014/main" id="{10C4A541-3154-40D5-89D6-BB779A504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166511</xdr:colOff>
      <xdr:row>7</xdr:row>
      <xdr:rowOff>31045</xdr:rowOff>
    </xdr:from>
    <xdr:to>
      <xdr:col>7</xdr:col>
      <xdr:colOff>79022</xdr:colOff>
      <xdr:row>9</xdr:row>
      <xdr:rowOff>67733</xdr:rowOff>
    </xdr:to>
    <xdr:graphicFrame macro="">
      <xdr:nvGraphicFramePr>
        <xdr:cNvPr id="22" name="Chart 21">
          <a:hlinkClick xmlns:r="http://schemas.openxmlformats.org/officeDocument/2006/relationships" r:id="rId12"/>
          <a:extLst>
            <a:ext uri="{FF2B5EF4-FFF2-40B4-BE49-F238E27FC236}">
              <a16:creationId xmlns:a16="http://schemas.microsoft.com/office/drawing/2014/main" id="{1328BFCB-4238-4221-BD05-AC736E166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299156</xdr:colOff>
          <xdr:row>9</xdr:row>
          <xdr:rowOff>67734</xdr:rowOff>
        </xdr:from>
        <xdr:to>
          <xdr:col>7</xdr:col>
          <xdr:colOff>67733</xdr:colOff>
          <xdr:row>11</xdr:row>
          <xdr:rowOff>160868</xdr:rowOff>
        </xdr:to>
        <xdr:pic>
          <xdr:nvPicPr>
            <xdr:cNvPr id="27" name="Picture 26">
              <a:extLst>
                <a:ext uri="{FF2B5EF4-FFF2-40B4-BE49-F238E27FC236}">
                  <a16:creationId xmlns:a16="http://schemas.microsoft.com/office/drawing/2014/main" id="{D987335E-C3AB-568F-D500-2416B415AB9F}"/>
                </a:ext>
              </a:extLst>
            </xdr:cNvPr>
            <xdr:cNvPicPr>
              <a:picLocks noChangeAspect="1" noChangeArrowheads="1"/>
              <a:extLst>
                <a:ext uri="{84589F7E-364E-4C9E-8A38-B11213B215E9}">
                  <a14:cameraTool cellRange="'Pivot Report'!$A$45:$D$47" spid="_x0000_s1042"/>
                </a:ext>
              </a:extLst>
            </xdr:cNvPicPr>
          </xdr:nvPicPr>
          <xdr:blipFill>
            <a:blip xmlns:r="http://schemas.openxmlformats.org/officeDocument/2006/relationships" r:embed="rId14"/>
            <a:srcRect/>
            <a:stretch>
              <a:fillRect/>
            </a:stretch>
          </xdr:blipFill>
          <xdr:spPr bwMode="auto">
            <a:xfrm>
              <a:off x="942623" y="1718734"/>
              <a:ext cx="3677355" cy="46002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191909</xdr:colOff>
      <xdr:row>12</xdr:row>
      <xdr:rowOff>36689</xdr:rowOff>
    </xdr:from>
    <xdr:to>
      <xdr:col>7</xdr:col>
      <xdr:colOff>28222</xdr:colOff>
      <xdr:row>17</xdr:row>
      <xdr:rowOff>33867</xdr:rowOff>
    </xdr:to>
    <xdr:graphicFrame macro="">
      <xdr:nvGraphicFramePr>
        <xdr:cNvPr id="28" name="Chart 27">
          <a:extLst>
            <a:ext uri="{FF2B5EF4-FFF2-40B4-BE49-F238E27FC236}">
              <a16:creationId xmlns:a16="http://schemas.microsoft.com/office/drawing/2014/main" id="{984D5D23-9229-41D6-888F-C6DE8737C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362303</xdr:colOff>
      <xdr:row>16</xdr:row>
      <xdr:rowOff>112888</xdr:rowOff>
    </xdr:from>
    <xdr:to>
      <xdr:col>5</xdr:col>
      <xdr:colOff>20460</xdr:colOff>
      <xdr:row>17</xdr:row>
      <xdr:rowOff>95603</xdr:rowOff>
    </xdr:to>
    <xdr:sp macro="" textlink="">
      <xdr:nvSpPr>
        <xdr:cNvPr id="30" name="TextBox 29">
          <a:extLst>
            <a:ext uri="{FF2B5EF4-FFF2-40B4-BE49-F238E27FC236}">
              <a16:creationId xmlns:a16="http://schemas.microsoft.com/office/drawing/2014/main" id="{DE233762-009E-9D86-34D7-B489E70C298A}"/>
            </a:ext>
          </a:extLst>
        </xdr:cNvPr>
        <xdr:cNvSpPr txBox="1"/>
      </xdr:nvSpPr>
      <xdr:spPr>
        <a:xfrm>
          <a:off x="2292703" y="3047999"/>
          <a:ext cx="945090" cy="16615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IN" sz="800" b="1" baseline="0"/>
            <a:t>No of Patient by Age</a:t>
          </a:r>
        </a:p>
        <a:p>
          <a:pPr algn="ctr"/>
          <a:endParaRPr lang="en-IN" sz="800" b="1"/>
        </a:p>
      </xdr:txBody>
    </xdr:sp>
    <xdr:clientData/>
  </xdr:twoCellAnchor>
  <xdr:twoCellAnchor>
    <xdr:from>
      <xdr:col>7</xdr:col>
      <xdr:colOff>110067</xdr:colOff>
      <xdr:row>0</xdr:row>
      <xdr:rowOff>39511</xdr:rowOff>
    </xdr:from>
    <xdr:to>
      <xdr:col>9</xdr:col>
      <xdr:colOff>194734</xdr:colOff>
      <xdr:row>8</xdr:row>
      <xdr:rowOff>19756</xdr:rowOff>
    </xdr:to>
    <xdr:graphicFrame macro="">
      <xdr:nvGraphicFramePr>
        <xdr:cNvPr id="32" name="Chart 31">
          <a:extLst>
            <a:ext uri="{FF2B5EF4-FFF2-40B4-BE49-F238E27FC236}">
              <a16:creationId xmlns:a16="http://schemas.microsoft.com/office/drawing/2014/main" id="{1B54EC11-FFA7-431C-B7C8-7EA24D90A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373591</xdr:colOff>
      <xdr:row>7</xdr:row>
      <xdr:rowOff>110067</xdr:rowOff>
    </xdr:from>
    <xdr:to>
      <xdr:col>9</xdr:col>
      <xdr:colOff>31748</xdr:colOff>
      <xdr:row>8</xdr:row>
      <xdr:rowOff>177448</xdr:rowOff>
    </xdr:to>
    <xdr:sp macro="" textlink="">
      <xdr:nvSpPr>
        <xdr:cNvPr id="36" name="TextBox 35">
          <a:extLst>
            <a:ext uri="{FF2B5EF4-FFF2-40B4-BE49-F238E27FC236}">
              <a16:creationId xmlns:a16="http://schemas.microsoft.com/office/drawing/2014/main" id="{4D67F3DA-4441-03DF-6F2F-471B3D5D025C}"/>
            </a:ext>
          </a:extLst>
        </xdr:cNvPr>
        <xdr:cNvSpPr txBox="1"/>
      </xdr:nvSpPr>
      <xdr:spPr>
        <a:xfrm>
          <a:off x="4925836" y="1394178"/>
          <a:ext cx="945090" cy="2508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IN" sz="800" b="1" baseline="0"/>
            <a:t>Patient Attend Status</a:t>
          </a:r>
          <a:endParaRPr lang="en-IN" sz="800" b="1"/>
        </a:p>
      </xdr:txBody>
    </xdr:sp>
    <xdr:clientData/>
  </xdr:twoCellAnchor>
  <xdr:twoCellAnchor>
    <xdr:from>
      <xdr:col>9</xdr:col>
      <xdr:colOff>420512</xdr:colOff>
      <xdr:row>0</xdr:row>
      <xdr:rowOff>95957</xdr:rowOff>
    </xdr:from>
    <xdr:to>
      <xdr:col>11</xdr:col>
      <xdr:colOff>406399</xdr:colOff>
      <xdr:row>7</xdr:row>
      <xdr:rowOff>127704</xdr:rowOff>
    </xdr:to>
    <xdr:graphicFrame macro="">
      <xdr:nvGraphicFramePr>
        <xdr:cNvPr id="42" name="Chart 41">
          <a:extLst>
            <a:ext uri="{FF2B5EF4-FFF2-40B4-BE49-F238E27FC236}">
              <a16:creationId xmlns:a16="http://schemas.microsoft.com/office/drawing/2014/main" id="{6E842888-6D08-4550-9373-AD16D423F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497769</xdr:colOff>
      <xdr:row>7</xdr:row>
      <xdr:rowOff>110067</xdr:rowOff>
    </xdr:from>
    <xdr:to>
      <xdr:col>11</xdr:col>
      <xdr:colOff>155926</xdr:colOff>
      <xdr:row>8</xdr:row>
      <xdr:rowOff>177448</xdr:rowOff>
    </xdr:to>
    <xdr:sp macro="" textlink="">
      <xdr:nvSpPr>
        <xdr:cNvPr id="44" name="TextBox 43">
          <a:extLst>
            <a:ext uri="{FF2B5EF4-FFF2-40B4-BE49-F238E27FC236}">
              <a16:creationId xmlns:a16="http://schemas.microsoft.com/office/drawing/2014/main" id="{79CE57AF-0678-15A6-C2AF-50B5CC4FCA64}"/>
            </a:ext>
          </a:extLst>
        </xdr:cNvPr>
        <xdr:cNvSpPr txBox="1"/>
      </xdr:nvSpPr>
      <xdr:spPr>
        <a:xfrm>
          <a:off x="6336947" y="1394178"/>
          <a:ext cx="945090" cy="2508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IN" sz="800" b="1" baseline="0"/>
            <a:t>Gender Wise Analysis</a:t>
          </a:r>
        </a:p>
        <a:p>
          <a:pPr algn="ctr"/>
          <a:endParaRPr lang="en-IN" sz="800" b="1"/>
        </a:p>
      </xdr:txBody>
    </xdr:sp>
    <xdr:clientData/>
  </xdr:twoCellAnchor>
  <xdr:twoCellAnchor>
    <xdr:from>
      <xdr:col>7</xdr:col>
      <xdr:colOff>177799</xdr:colOff>
      <xdr:row>9</xdr:row>
      <xdr:rowOff>33867</xdr:rowOff>
    </xdr:from>
    <xdr:to>
      <xdr:col>11</xdr:col>
      <xdr:colOff>454378</xdr:colOff>
      <xdr:row>16</xdr:row>
      <xdr:rowOff>64912</xdr:rowOff>
    </xdr:to>
    <xdr:graphicFrame macro="">
      <xdr:nvGraphicFramePr>
        <xdr:cNvPr id="46" name="Chart 45">
          <a:extLst>
            <a:ext uri="{FF2B5EF4-FFF2-40B4-BE49-F238E27FC236}">
              <a16:creationId xmlns:a16="http://schemas.microsoft.com/office/drawing/2014/main" id="{2A92AA10-7D92-452B-8980-E3BEE4238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49035</xdr:colOff>
      <xdr:row>16</xdr:row>
      <xdr:rowOff>5645</xdr:rowOff>
    </xdr:from>
    <xdr:to>
      <xdr:col>10</xdr:col>
      <xdr:colOff>174976</xdr:colOff>
      <xdr:row>17</xdr:row>
      <xdr:rowOff>115360</xdr:rowOff>
    </xdr:to>
    <xdr:sp macro="" textlink="">
      <xdr:nvSpPr>
        <xdr:cNvPr id="48" name="TextBox 47">
          <a:extLst>
            <a:ext uri="{FF2B5EF4-FFF2-40B4-BE49-F238E27FC236}">
              <a16:creationId xmlns:a16="http://schemas.microsoft.com/office/drawing/2014/main" id="{DFECB178-82F3-26A9-F08B-F66E5ED62AE9}"/>
            </a:ext>
          </a:extLst>
        </xdr:cNvPr>
        <xdr:cNvSpPr txBox="1"/>
      </xdr:nvSpPr>
      <xdr:spPr>
        <a:xfrm>
          <a:off x="5244746" y="2940756"/>
          <a:ext cx="1412875" cy="29315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IN" sz="800" b="1" baseline="0"/>
            <a:t>No of Patient by Departmental Referal</a:t>
          </a:r>
          <a:endParaRPr lang="en-IN" sz="800" b="1"/>
        </a:p>
      </xdr:txBody>
    </xdr:sp>
    <xdr:clientData/>
  </xdr:twoCellAnchor>
  <xdr:twoCellAnchor editAs="oneCell">
    <xdr:from>
      <xdr:col>5</xdr:col>
      <xdr:colOff>132646</xdr:colOff>
      <xdr:row>1</xdr:row>
      <xdr:rowOff>11288</xdr:rowOff>
    </xdr:from>
    <xdr:to>
      <xdr:col>7</xdr:col>
      <xdr:colOff>25400</xdr:colOff>
      <xdr:row>3</xdr:row>
      <xdr:rowOff>177800</xdr:rowOff>
    </xdr:to>
    <mc:AlternateContent xmlns:mc="http://schemas.openxmlformats.org/markup-compatibility/2006" xmlns:a14="http://schemas.microsoft.com/office/drawing/2010/main">
      <mc:Choice Requires="a14">
        <xdr:graphicFrame macro="">
          <xdr:nvGraphicFramePr>
            <xdr:cNvPr id="49" name="Date (Year)">
              <a:extLst>
                <a:ext uri="{FF2B5EF4-FFF2-40B4-BE49-F238E27FC236}">
                  <a16:creationId xmlns:a16="http://schemas.microsoft.com/office/drawing/2014/main" id="{A5C9EAC9-B9FC-45B2-9667-65465115ADF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49979" y="194733"/>
              <a:ext cx="1227666" cy="533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13</xdr:col>
      <xdr:colOff>385233</xdr:colOff>
      <xdr:row>17</xdr:row>
      <xdr:rowOff>12700</xdr:rowOff>
    </xdr:to>
    <xdr:graphicFrame macro="">
      <xdr:nvGraphicFramePr>
        <xdr:cNvPr id="2" name="Chart 1">
          <a:extLst>
            <a:ext uri="{FF2B5EF4-FFF2-40B4-BE49-F238E27FC236}">
              <a16:creationId xmlns:a16="http://schemas.microsoft.com/office/drawing/2014/main" id="{605C6E4E-432A-42BD-9D3D-90E9335A8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563034</xdr:colOff>
      <xdr:row>16</xdr:row>
      <xdr:rowOff>131233</xdr:rowOff>
    </xdr:from>
    <xdr:ext cx="5693833" cy="277260"/>
    <xdr:sp macro="" textlink="">
      <xdr:nvSpPr>
        <xdr:cNvPr id="3" name="TextBox 2">
          <a:extLst>
            <a:ext uri="{FF2B5EF4-FFF2-40B4-BE49-F238E27FC236}">
              <a16:creationId xmlns:a16="http://schemas.microsoft.com/office/drawing/2014/main" id="{494AF1EC-D870-DEEF-CF85-00471D9FC266}"/>
            </a:ext>
          </a:extLst>
        </xdr:cNvPr>
        <xdr:cNvSpPr txBox="1"/>
      </xdr:nvSpPr>
      <xdr:spPr>
        <a:xfrm>
          <a:off x="1206501" y="3043766"/>
          <a:ext cx="5693833" cy="2772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Show a daily trend with an area sparkline to spot patterns like busy days or seasonal trends.</a:t>
          </a:r>
        </a:p>
      </xdr:txBody>
    </xdr:sp>
    <xdr:clientData/>
  </xdr:oneCellAnchor>
  <xdr:twoCellAnchor editAs="oneCell">
    <xdr:from>
      <xdr:col>0</xdr:col>
      <xdr:colOff>84666</xdr:colOff>
      <xdr:row>0</xdr:row>
      <xdr:rowOff>0</xdr:rowOff>
    </xdr:from>
    <xdr:to>
      <xdr:col>1</xdr:col>
      <xdr:colOff>88899</xdr:colOff>
      <xdr:row>3</xdr:row>
      <xdr:rowOff>101600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F61E6B42-B35F-EE5A-6BA6-3F867F68477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4666" y="0"/>
          <a:ext cx="647700" cy="647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25400</xdr:colOff>
      <xdr:row>1</xdr:row>
      <xdr:rowOff>38100</xdr:rowOff>
    </xdr:from>
    <xdr:to>
      <xdr:col>17</xdr:col>
      <xdr:colOff>122767</xdr:colOff>
      <xdr:row>23</xdr:row>
      <xdr:rowOff>97366</xdr:rowOff>
    </xdr:to>
    <xdr:graphicFrame macro="">
      <xdr:nvGraphicFramePr>
        <xdr:cNvPr id="2" name="Chart 1">
          <a:extLst>
            <a:ext uri="{FF2B5EF4-FFF2-40B4-BE49-F238E27FC236}">
              <a16:creationId xmlns:a16="http://schemas.microsoft.com/office/drawing/2014/main" id="{86896307-3B82-41CF-8D4E-19A19A638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84667</xdr:colOff>
      <xdr:row>1</xdr:row>
      <xdr:rowOff>67734</xdr:rowOff>
    </xdr:from>
    <xdr:to>
      <xdr:col>1</xdr:col>
      <xdr:colOff>63500</xdr:colOff>
      <xdr:row>4</xdr:row>
      <xdr:rowOff>143934</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96C7B2CC-97D0-D82E-FAAF-642CAF791B9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4667" y="249767"/>
          <a:ext cx="622300" cy="622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12700</xdr:colOff>
      <xdr:row>1</xdr:row>
      <xdr:rowOff>33866</xdr:rowOff>
    </xdr:from>
    <xdr:to>
      <xdr:col>17</xdr:col>
      <xdr:colOff>50800</xdr:colOff>
      <xdr:row>23</xdr:row>
      <xdr:rowOff>156633</xdr:rowOff>
    </xdr:to>
    <xdr:graphicFrame macro="">
      <xdr:nvGraphicFramePr>
        <xdr:cNvPr id="2" name="Chart 1">
          <a:extLst>
            <a:ext uri="{FF2B5EF4-FFF2-40B4-BE49-F238E27FC236}">
              <a16:creationId xmlns:a16="http://schemas.microsoft.com/office/drawing/2014/main" id="{3C4F004A-E9E0-4D4B-9D81-1560534BB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0.0617</cdr:x>
      <cdr:y>0.17039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EE9F555-770E-8B46-A008-F9D116C7F4C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77333" cy="677333"/>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refreshedDate="46223.451193865738" createdVersion="5" refreshedVersion="8" minRefreshableVersion="3" recordCount="0" supportSubquery="1" supportAdvancedDrill="1" xr:uid="{C5410688-C6EC-4F70-99DC-73CDA5DFB1DE}">
  <cacheSource type="external" connectionId="3"/>
  <cacheFields count="4">
    <cacheField name="[Measures].[Distinct Count of Patient Id]" caption="Distinct Count of Patient Id" numFmtId="0" hierarchy="24" level="32767"/>
    <cacheField name="[Calender _Table].[Date (Day)].[Date (Day)]" caption="Date (Day)" numFmtId="0" hierarchy="2" level="1">
      <sharedItems count="31">
        <s v="1-Apr"/>
        <s v="2-Apr"/>
        <s v="3-Apr"/>
        <s v="4-Apr"/>
        <s v="5-Apr"/>
        <s v="6-Apr"/>
        <s v="7-Apr"/>
        <s v="8-Apr"/>
        <s v="9-Apr"/>
        <s v="10-Apr"/>
        <s v="11-Apr"/>
        <s v="12-Apr"/>
        <s v="13-Apr"/>
        <s v="14-Apr"/>
        <s v="15-Apr"/>
        <s v="16-Apr"/>
        <s v="17-Apr"/>
        <s v="18-Apr"/>
        <s v="19-Apr"/>
        <s v="20-Apr"/>
        <s v="21-Apr"/>
        <s v="22-Apr"/>
        <s v="23-Apr"/>
        <s v="24-Apr"/>
        <s v="25-Apr"/>
        <s v="26-Apr"/>
        <s v="27-Apr"/>
        <s v="28-Apr"/>
        <s v="29-Apr"/>
        <s v="30-Apr"/>
        <s v="1-Jan" u="1"/>
      </sharedItems>
    </cacheField>
    <cacheField name="[Calender _Table].[Date (Month)].[Date (Month)]" caption="Date (Month)" numFmtId="0" hierarchy="1" level="1">
      <sharedItems containsSemiMixedTypes="0" containsNonDate="0" containsString="0"/>
    </cacheField>
    <cacheField name="[Calender _Table].[Date (Year)].[Date (Year)]" caption="Date (Year)" numFmtId="0" hierarchy="3" level="1">
      <sharedItems containsSemiMixedTypes="0" containsNonDate="0" containsString="0"/>
    </cacheField>
  </cacheFields>
  <cacheHierarchies count="34">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fieldsUsage count="2">
        <fieldUsage x="-1"/>
        <fieldUsage x="2"/>
      </fieldsUsage>
    </cacheHierarchy>
    <cacheHierarchy uniqueName="[Calender _Table].[Date (Day)]" caption="Date (Day)" attribute="1" defaultMemberUniqueName="[Calender _Table].[Date (Day)].[All]" allUniqueName="[Calender _Table].[Date (Day)].[All]" dimensionUniqueName="[Calender _Table]" displayFolder="" count="2" memberValueDatatype="130" unbalanced="0">
      <fieldsUsage count="2">
        <fieldUsage x="-1"/>
        <fieldUsage x="1"/>
      </fieldsUsage>
    </cacheHierarchy>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3"/>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Calender _Table]" caption="__XL_Count Calender _Table" measure="1" displayFolder="" measureGroup="Calender _Table" count="0" hidden="1"/>
    <cacheHierarchy uniqueName="[Measures].[__XL_Count Hospital Emergency Room Data  1]" caption="__XL_Count Hospital Emergency Room Data  1" measure="1" displayFolder="" measureGroup="Hospital Emergency Room Data  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1" uniqueName="[Hospital Emergency Room Data  1]" caption="Hospital Emergency Room Data  1"/>
    <dimension measure="1" name="Measures" uniqueName="[Measures]" caption="Measures"/>
  </dimensions>
  <measureGroups count="2">
    <measureGroup name="Calender _Table" caption="Calender 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refreshedDate="46223.451194212961" createdVersion="5" refreshedVersion="8" minRefreshableVersion="3" recordCount="0" supportSubquery="1" supportAdvancedDrill="1" xr:uid="{75343D2D-5848-49FA-867D-03C891D2E3F5}">
  <cacheSource type="external" connectionId="3"/>
  <cacheFields count="3">
    <cacheField name="[Measures].[Distinct Count of Patient Id]" caption="Distinct Count of Patient Id" numFmtId="0" hierarchy="24" level="32767"/>
    <cacheField name="[Calender _Table].[Date (Month)].[Date (Month)]" caption="Date (Month)" numFmtId="0" hierarchy="1" level="1">
      <sharedItems containsSemiMixedTypes="0" containsNonDate="0" containsString="0"/>
    </cacheField>
    <cacheField name="[Calender _Table].[Date (Year)].[Date (Year)]" caption="Date (Year)" numFmtId="0" hierarchy="3" level="1">
      <sharedItems containsSemiMixedTypes="0" containsNonDate="0" containsString="0"/>
    </cacheField>
  </cacheFields>
  <cacheHierarchies count="34">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fieldsUsage count="2">
        <fieldUsage x="-1"/>
        <fieldUsage x="1"/>
      </fieldsUsage>
    </cacheHierarchy>
    <cacheHierarchy uniqueName="[Calender _Table].[Date (Day)]" caption="Date (Day)" attribute="1" defaultMemberUniqueName="[Calender _Table].[Date (Day)].[All]" allUniqueName="[Calender _Table].[Date (Day)].[All]" dimensionUniqueName="[Calender _Table]" displayFolder="" count="0" memberValueDatatype="130" unbalanced="0"/>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2"/>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Calender _Table]" caption="__XL_Count Calender _Table" measure="1" displayFolder="" measureGroup="Calender _Table" count="0" hidden="1"/>
    <cacheHierarchy uniqueName="[Measures].[__XL_Count Hospital Emergency Room Data  1]" caption="__XL_Count Hospital Emergency Room Data  1" measure="1" displayFolder="" measureGroup="Hospital Emergency Room Data  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1" uniqueName="[Hospital Emergency Room Data  1]" caption="Hospital Emergency Room Data  1"/>
    <dimension measure="1" name="Measures" uniqueName="[Measures]" caption="Measures"/>
  </dimensions>
  <measureGroups count="2">
    <measureGroup name="Calender _Table" caption="Calender 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refreshedDate="46223.451194444446" createdVersion="5" refreshedVersion="8" minRefreshableVersion="3" recordCount="0" supportSubquery="1" supportAdvancedDrill="1" xr:uid="{681E9A56-DE74-4E97-9110-1312BC04AF01}">
  <cacheSource type="external" connectionId="3"/>
  <cacheFields count="3">
    <cacheField name="[Measures].[Average of Patient Waittime]" caption="Average of Patient Waittime" numFmtId="0" hierarchy="26" level="32767"/>
    <cacheField name="[Calender _Table].[Date (Month)].[Date (Month)]" caption="Date (Month)" numFmtId="0" hierarchy="1" level="1">
      <sharedItems containsSemiMixedTypes="0" containsNonDate="0" containsString="0"/>
    </cacheField>
    <cacheField name="[Calender _Table].[Date (Year)].[Date (Year)]" caption="Date (Year)" numFmtId="0" hierarchy="3" level="1">
      <sharedItems containsSemiMixedTypes="0" containsNonDate="0" containsString="0"/>
    </cacheField>
  </cacheFields>
  <cacheHierarchies count="34">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fieldsUsage count="2">
        <fieldUsage x="-1"/>
        <fieldUsage x="1"/>
      </fieldsUsage>
    </cacheHierarchy>
    <cacheHierarchy uniqueName="[Calender _Table].[Date (Day)]" caption="Date (Day)" attribute="1" defaultMemberUniqueName="[Calender _Table].[Date (Day)].[All]" allUniqueName="[Calender _Table].[Date (Day)].[All]" dimensionUniqueName="[Calender _Table]" displayFolder="" count="0" memberValueDatatype="130" unbalanced="0"/>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2"/>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Calender _Table]" caption="__XL_Count Calender _Table" measure="1" displayFolder="" measureGroup="Calender _Table" count="0" hidden="1"/>
    <cacheHierarchy uniqueName="[Measures].[__XL_Count Hospital Emergency Room Data  1]" caption="__XL_Count Hospital Emergency Room Data  1" measure="1" displayFolder="" measureGroup="Hospital Emergency Room Data  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1" uniqueName="[Hospital Emergency Room Data  1]" caption="Hospital Emergency Room Data  1"/>
    <dimension measure="1" name="Measures" uniqueName="[Measures]" caption="Measures"/>
  </dimensions>
  <measureGroups count="2">
    <measureGroup name="Calender _Table" caption="Calender 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refreshedDate="46223.451194907408" createdVersion="5" refreshedVersion="8" minRefreshableVersion="3" recordCount="0" supportSubquery="1" supportAdvancedDrill="1" xr:uid="{24ACC371-5DC0-43AA-9C2C-31D41FA2989F}">
  <cacheSource type="external" connectionId="3"/>
  <cacheFields count="3">
    <cacheField name="[Measures].[Average of Patient Satisfaction Score]" caption="Average of Patient Satisfaction Score" numFmtId="0" hierarchy="28" level="32767"/>
    <cacheField name="[Calender _Table].[Date (Month)].[Date (Month)]" caption="Date (Month)" numFmtId="0" hierarchy="1" level="1">
      <sharedItems containsSemiMixedTypes="0" containsNonDate="0" containsString="0"/>
    </cacheField>
    <cacheField name="[Calender _Table].[Date (Year)].[Date (Year)]" caption="Date (Year)" numFmtId="0" hierarchy="3" level="1">
      <sharedItems containsSemiMixedTypes="0" containsNonDate="0" containsString="0"/>
    </cacheField>
  </cacheFields>
  <cacheHierarchies count="34">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fieldsUsage count="2">
        <fieldUsage x="-1"/>
        <fieldUsage x="1"/>
      </fieldsUsage>
    </cacheHierarchy>
    <cacheHierarchy uniqueName="[Calender _Table].[Date (Day)]" caption="Date (Day)" attribute="1" defaultMemberUniqueName="[Calender _Table].[Date (Day)].[All]" allUniqueName="[Calender _Table].[Date (Day)].[All]" dimensionUniqueName="[Calender _Table]" displayFolder="" count="0" memberValueDatatype="130" unbalanced="0"/>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2"/>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Calender _Table]" caption="__XL_Count Calender _Table" measure="1" displayFolder="" measureGroup="Calender _Table" count="0" hidden="1"/>
    <cacheHierarchy uniqueName="[Measures].[__XL_Count Hospital Emergency Room Data  1]" caption="__XL_Count Hospital Emergency Room Data  1" measure="1" displayFolder="" measureGroup="Hospital Emergency Room Data  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1" uniqueName="[Hospital Emergency Room Data  1]" caption="Hospital Emergency Room Data  1"/>
    <dimension measure="1" name="Measures" uniqueName="[Measures]" caption="Measures"/>
  </dimensions>
  <measureGroups count="2">
    <measureGroup name="Calender _Table" caption="Calender 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refreshedDate="46223.451195601854" createdVersion="5" refreshedVersion="8" minRefreshableVersion="3" recordCount="0" supportSubquery="1" supportAdvancedDrill="1" xr:uid="{EB8B3901-602A-4338-8BFF-F5BED6BB54EB}">
  <cacheSource type="external" connectionId="3"/>
  <cacheFields count="4">
    <cacheField name="[Calender 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 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 _Table].[Date (Year)].[Date (Year)]" caption="Date (Year)" numFmtId="0" hierarchy="3" level="1">
      <sharedItems containsSemiMixedTypes="0" containsNonDate="0" containsString="0"/>
    </cacheField>
  </cacheFields>
  <cacheHierarchies count="34">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fieldsUsage count="2">
        <fieldUsage x="-1"/>
        <fieldUsage x="1"/>
      </fieldsUsage>
    </cacheHierarchy>
    <cacheHierarchy uniqueName="[Calender _Table].[Date (Day)]" caption="Date (Day)" attribute="1" defaultMemberUniqueName="[Calender _Table].[Date (Day)].[All]" allUniqueName="[Calender _Table].[Date (Day)].[All]" dimensionUniqueName="[Calender _Table]" displayFolder="" count="2" memberValueDatatype="130" unbalanced="0">
      <fieldsUsage count="2">
        <fieldUsage x="-1"/>
        <fieldUsage x="0"/>
      </fieldsUsage>
    </cacheHierarchy>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3"/>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Calender _Table]" caption="__XL_Count Calender _Table" measure="1" displayFolder="" measureGroup="Calender _Table" count="0" hidden="1"/>
    <cacheHierarchy uniqueName="[Measures].[__XL_Count Hospital Emergency Room Data  1]" caption="__XL_Count Hospital Emergency Room Data  1" measure="1" displayFolder="" measureGroup="Hospital Emergency Room Data  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1" uniqueName="[Hospital Emergency Room Data  1]" caption="Hospital Emergency Room Data  1"/>
    <dimension measure="1" name="Measures" uniqueName="[Measures]" caption="Measures"/>
  </dimensions>
  <measureGroups count="2">
    <measureGroup name="Calender _Table" caption="Calender 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refreshedDate="46223.451196296293" createdVersion="5" refreshedVersion="8" minRefreshableVersion="3" recordCount="0" supportSubquery="1" supportAdvancedDrill="1" xr:uid="{E0EEA505-2092-4FDF-A874-1B59DF6FDA1B}">
  <cacheSource type="external" connectionId="3"/>
  <cacheFields count="4">
    <cacheField name="[Calender 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 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 _Table].[Date (Year)].[Date (Year)]" caption="Date (Year)" numFmtId="0" hierarchy="3" level="1">
      <sharedItems containsSemiMixedTypes="0" containsNonDate="0" containsString="0"/>
    </cacheField>
  </cacheFields>
  <cacheHierarchies count="34">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fieldsUsage count="2">
        <fieldUsage x="-1"/>
        <fieldUsage x="1"/>
      </fieldsUsage>
    </cacheHierarchy>
    <cacheHierarchy uniqueName="[Calender _Table].[Date (Day)]" caption="Date (Day)" attribute="1" defaultMemberUniqueName="[Calender _Table].[Date (Day)].[All]" allUniqueName="[Calender _Table].[Date (Day)].[All]" dimensionUniqueName="[Calender _Table]" displayFolder="" count="2" memberValueDatatype="130" unbalanced="0">
      <fieldsUsage count="2">
        <fieldUsage x="-1"/>
        <fieldUsage x="0"/>
      </fieldsUsage>
    </cacheHierarchy>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3"/>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Calender _Table]" caption="__XL_Count Calender _Table" measure="1" displayFolder="" measureGroup="Calender _Table" count="0" hidden="1"/>
    <cacheHierarchy uniqueName="[Measures].[__XL_Count Hospital Emergency Room Data  1]" caption="__XL_Count Hospital Emergency Room Data  1" measure="1" displayFolder="" measureGroup="Hospital Emergency Room Data  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1" uniqueName="[Hospital Emergency Room Data  1]" caption="Hospital Emergency Room Data  1"/>
    <dimension measure="1" name="Measures" uniqueName="[Measures]" caption="Measures"/>
  </dimensions>
  <measureGroups count="2">
    <measureGroup name="Calender _Table" caption="Calender 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refreshedDate="46223.45119699074" createdVersion="5" refreshedVersion="8" minRefreshableVersion="3" recordCount="0" supportSubquery="1" supportAdvancedDrill="1" xr:uid="{D096499F-6465-4072-ABEE-5F9566294059}">
  <cacheSource type="external" connectionId="3"/>
  <cacheFields count="5">
    <cacheField name="[Calender 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  1].[Patient Admission Flag].[Patient Admission Flag]" caption="Patient Admission Flag" numFmtId="0" hierarchy="13" level="1">
      <sharedItems count="2">
        <s v="Admitted"/>
        <s v="Not Admitted"/>
      </sharedItems>
    </cacheField>
    <cacheField name="[Calender 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fieldsUsage count="2">
        <fieldUsage x="-1"/>
        <fieldUsage x="0"/>
      </fieldsUsage>
    </cacheHierarchy>
    <cacheHierarchy uniqueName="[Calender _Table].[Date (Day)]" caption="Date (Day)" attribute="1" defaultMemberUniqueName="[Calender _Table].[Date (Day)].[All]" allUniqueName="[Calender _Table].[Date (Day)].[All]" dimensionUniqueName="[Calender _Table]" displayFolder="" count="0" memberValueDatatype="130" unbalanced="0"/>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3"/>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2"/>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Calender _Table]" caption="__XL_Count Calender _Table" measure="1" displayFolder="" measureGroup="Calender _Table" count="0" hidden="1"/>
    <cacheHierarchy uniqueName="[Measures].[__XL_Count Hospital Emergency Room Data  1]" caption="__XL_Count Hospital Emergency Room Data  1" measure="1" displayFolder="" measureGroup="Hospital Emergency Room Data  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_Table" uniqueName="[Calender _Table]" caption="Calender _Table"/>
    <dimension name="Hospital Emergency Room Data  1" uniqueName="[Hospital Emergency Room Data  1]" caption="Hospital Emergency Room Data  1"/>
    <dimension measure="1" name="Measures" uniqueName="[Measures]" caption="Measures"/>
  </dimensions>
  <measureGroups count="2">
    <measureGroup name="Calender _Table" caption="Calender 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refreshedDate="46223.451197685186" createdVersion="5" refreshedVersion="8" minRefreshableVersion="3" recordCount="0" supportSubquery="1" supportAdvancedDrill="1" xr:uid="{CAFF8789-CE3C-41E5-AA3B-45C36CB8A24F}">
  <cacheSource type="external" connectionId="3"/>
  <cacheFields count="4">
    <cacheField name="[Calender _Table].[Date (Month)].[Date (Month)]" caption="Date (Month)" numFmtId="0" hierarchy="1" level="1">
      <sharedItems containsSemiMixedTypes="0" containsNonDate="0" containsString="0"/>
    </cacheField>
    <cacheField name="[Hospital Emergency Room Data  1].[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er _Table].[Date (Year)].[Date (Year)]" caption="Date (Year)" numFmtId="0" hierarchy="3" level="1">
      <sharedItems containsSemiMixedTypes="0" containsNonDate="0" containsString="0"/>
    </cacheField>
  </cacheFields>
  <cacheHierarchies count="34">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fieldsUsage count="2">
        <fieldUsage x="-1"/>
        <fieldUsage x="0"/>
      </fieldsUsage>
    </cacheHierarchy>
    <cacheHierarchy uniqueName="[Calender _Table].[Date (Day)]" caption="Date (Day)" attribute="1" defaultMemberUniqueName="[Calender _Table].[Date (Day)].[All]" allUniqueName="[Calender _Table].[Date (Day)].[All]" dimensionUniqueName="[Calender _Table]" displayFolder="" count="0" memberValueDatatype="130" unbalanced="0"/>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3"/>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fieldsUsage count="2">
        <fieldUsage x="-1"/>
        <fieldUsage x="1"/>
      </fieldsUsage>
    </cacheHierarchy>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Calender _Table]" caption="__XL_Count Calender _Table" measure="1" displayFolder="" measureGroup="Calender _Table" count="0" hidden="1"/>
    <cacheHierarchy uniqueName="[Measures].[__XL_Count Hospital Emergency Room Data  1]" caption="__XL_Count Hospital Emergency Room Data  1" measure="1" displayFolder="" measureGroup="Hospital Emergency Room Data  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1" uniqueName="[Hospital Emergency Room Data  1]" caption="Hospital Emergency Room Data  1"/>
    <dimension measure="1" name="Measures" uniqueName="[Measures]" caption="Measures"/>
  </dimensions>
  <measureGroups count="2">
    <measureGroup name="Calender _Table" caption="Calender 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refreshedDate="46223.451198379633" createdVersion="5" refreshedVersion="8" minRefreshableVersion="3" recordCount="0" supportSubquery="1" supportAdvancedDrill="1" xr:uid="{6D03ABC4-F95D-49B2-A971-7726BF4F7F73}">
  <cacheSource type="external" connectionId="3"/>
  <cacheFields count="4">
    <cacheField name="[Calender _Table].[Date (Month)].[Date (Month)]" caption="Date (Month)" numFmtId="0" hierarchy="1" level="1">
      <sharedItems containsSemiMixedTypes="0" containsNonDate="0" containsString="0"/>
    </cacheField>
    <cacheField name="[Hospital Emergency Room Data  1].[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er _Table].[Date (Year)].[Date (Year)]" caption="Date (Year)" numFmtId="0" hierarchy="3" level="1">
      <sharedItems containsSemiMixedTypes="0" containsNonDate="0" containsString="0"/>
    </cacheField>
  </cacheFields>
  <cacheHierarchies count="34">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fieldsUsage count="2">
        <fieldUsage x="-1"/>
        <fieldUsage x="0"/>
      </fieldsUsage>
    </cacheHierarchy>
    <cacheHierarchy uniqueName="[Calender _Table].[Date (Day)]" caption="Date (Day)" attribute="1" defaultMemberUniqueName="[Calender _Table].[Date (Day)].[All]" allUniqueName="[Calender _Table].[Date (Day)].[All]" dimensionUniqueName="[Calender _Table]" displayFolder="" count="0" memberValueDatatype="130" unbalanced="0"/>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3"/>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fieldsUsage count="2">
        <fieldUsage x="-1"/>
        <fieldUsage x="1"/>
      </fieldsUsage>
    </cacheHierarchy>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Calender _Table]" caption="__XL_Count Calender _Table" measure="1" displayFolder="" measureGroup="Calender _Table" count="0" hidden="1"/>
    <cacheHierarchy uniqueName="[Measures].[__XL_Count Hospital Emergency Room Data  1]" caption="__XL_Count Hospital Emergency Room Data  1" measure="1" displayFolder="" measureGroup="Hospital Emergency Room Data  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1" uniqueName="[Hospital Emergency Room Data  1]" caption="Hospital Emergency Room Data  1"/>
    <dimension measure="1" name="Measures" uniqueName="[Measures]" caption="Measures"/>
  </dimensions>
  <measureGroups count="2">
    <measureGroup name="Calender _Table" caption="Calender 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refreshedDate="46223.451199074072" createdVersion="5" refreshedVersion="8" minRefreshableVersion="3" recordCount="0" supportSubquery="1" supportAdvancedDrill="1" xr:uid="{93719C75-BDA7-497F-8B1B-E0BD03CEBAB5}">
  <cacheSource type="external" connectionId="3"/>
  <cacheFields count="4">
    <cacheField name="[Calender _Table].[Date (Month)].[Date (Month)]" caption="Date (Month)" numFmtId="0" hierarchy="1" level="1">
      <sharedItems containsSemiMixedTypes="0" containsNonDate="0" containsString="0"/>
    </cacheField>
    <cacheField name="[Hospital Emergency Room Data  1].[Patient Gender].[Patient Gender]" caption="Patient Gender" numFmtId="0" hierarchy="9" level="1">
      <sharedItems count="2">
        <s v="Female"/>
        <s v="Male"/>
      </sharedItems>
    </cacheField>
    <cacheField name="[Measures].[Count of Patient Gender]" caption="Count of Patient Gender" numFmtId="0" hierarchy="32" level="32767"/>
    <cacheField name="[Calender _Table].[Date (Year)].[Date (Year)]" caption="Date (Year)" numFmtId="0" hierarchy="3" level="1">
      <sharedItems containsSemiMixedTypes="0" containsNonDate="0" containsString="0"/>
    </cacheField>
  </cacheFields>
  <cacheHierarchies count="34">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fieldsUsage count="2">
        <fieldUsage x="-1"/>
        <fieldUsage x="0"/>
      </fieldsUsage>
    </cacheHierarchy>
    <cacheHierarchy uniqueName="[Calender _Table].[Date (Day)]" caption="Date (Day)" attribute="1" defaultMemberUniqueName="[Calender _Table].[Date (Day)].[All]" allUniqueName="[Calender _Table].[Date (Day)].[All]" dimensionUniqueName="[Calender _Table]" displayFolder="" count="0" memberValueDatatype="130" unbalanced="0"/>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3"/>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fieldsUsage count="2">
        <fieldUsage x="-1"/>
        <fieldUsage x="1"/>
      </fieldsUsage>
    </cacheHierarchy>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Calender _Table]" caption="__XL_Count Calender _Table" measure="1" displayFolder="" measureGroup="Calender _Table" count="0" hidden="1"/>
    <cacheHierarchy uniqueName="[Measures].[__XL_Count Hospital Emergency Room Data  1]" caption="__XL_Count Hospital Emergency Room Data  1" measure="1" displayFolder="" measureGroup="Hospital Emergency Room Data  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1" uniqueName="[Hospital Emergency Room Data  1]" caption="Hospital Emergency Room Data  1"/>
    <dimension measure="1" name="Measures" uniqueName="[Measures]" caption="Measures"/>
  </dimensions>
  <measureGroups count="2">
    <measureGroup name="Calender _Table" caption="Calender 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refreshedDate="46223.451199768519" createdVersion="5" refreshedVersion="8" minRefreshableVersion="3" recordCount="0" supportSubquery="1" supportAdvancedDrill="1" xr:uid="{DCE6366C-6358-41B7-B24B-3E3814790052}">
  <cacheSource type="external" connectionId="3"/>
  <cacheFields count="4">
    <cacheField name="[Calender _Table].[Date (Month)].[Date (Month)]" caption="Date (Month)" numFmtId="0" hierarchy="1" level="1">
      <sharedItems containsSemiMixedTypes="0" containsNonDate="0" containsString="0"/>
    </cacheField>
    <cacheField name="[Hospital Emergency Room Data  1].[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 _Table].[Date (Year)].[Date (Year)]" caption="Date (Year)" numFmtId="0" hierarchy="3" level="1">
      <sharedItems containsSemiMixedTypes="0" containsNonDate="0" containsString="0"/>
    </cacheField>
  </cacheFields>
  <cacheHierarchies count="34">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fieldsUsage count="2">
        <fieldUsage x="-1"/>
        <fieldUsage x="0"/>
      </fieldsUsage>
    </cacheHierarchy>
    <cacheHierarchy uniqueName="[Calender _Table].[Date (Day)]" caption="Date (Day)" attribute="1" defaultMemberUniqueName="[Calender _Table].[Date (Day)].[All]" allUniqueName="[Calender _Table].[Date (Day)].[All]" dimensionUniqueName="[Calender _Table]" displayFolder="" count="0" memberValueDatatype="130" unbalanced="0"/>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3"/>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fieldsUsage count="2">
        <fieldUsage x="-1"/>
        <fieldUsage x="1"/>
      </fieldsUsage>
    </cacheHierarchy>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Calender _Table]" caption="__XL_Count Calender _Table" measure="1" displayFolder="" measureGroup="Calender _Table" count="0" hidden="1"/>
    <cacheHierarchy uniqueName="[Measures].[__XL_Count Hospital Emergency Room Data  1]" caption="__XL_Count Hospital Emergency Room Data  1" measure="1" displayFolder="" measureGroup="Hospital Emergency Room Data  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1" uniqueName="[Hospital Emergency Room Data  1]" caption="Hospital Emergency Room Data  1"/>
    <dimension measure="1" name="Measures" uniqueName="[Measures]" caption="Measures"/>
  </dimensions>
  <measureGroups count="2">
    <measureGroup name="Calender _Table" caption="Calender 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refreshedDate="46223.451200462965" createdVersion="5" refreshedVersion="8" minRefreshableVersion="3" recordCount="0" supportSubquery="1" supportAdvancedDrill="1" xr:uid="{072EA543-72EA-45FB-9A32-A4F86B5FD2C0}">
  <cacheSource type="external" connectionId="3"/>
  <cacheFields count="4">
    <cacheField name="[Calender _Table].[Date (Month)].[Date (Month)]" caption="Date (Month)" numFmtId="0" hierarchy="1" level="1">
      <sharedItems count="1">
        <s v="Jun"/>
      </sharedItems>
    </cacheField>
    <cacheField name="[Calender _Table].[Date].[Date]" caption="Date"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er _Table].[Date (Quarter)].[Date (Quarter)]" caption="Date (Quarter)" numFmtId="0" hierarchy="4" level="1">
      <sharedItems count="1">
        <s v="Qtr2"/>
      </sharedItems>
    </cacheField>
    <cacheField name="[Calender _Table].[Date (Year)].[Date (Year)]" caption="Date (Year)" numFmtId="0" hierarchy="3" level="1">
      <sharedItems count="1">
        <s v="2023"/>
      </sharedItems>
    </cacheField>
  </cacheFields>
  <cacheHierarchies count="34">
    <cacheHierarchy uniqueName="[Calender _Table].[Date]" caption="Date" attribute="1" time="1" defaultMemberUniqueName="[Calender _Table].[Date].[All]" allUniqueName="[Calender _Table].[Date].[All]" dimensionUniqueName="[Calender _Table]" displayFolder="" count="2" memberValueDatatype="7" unbalanced="0">
      <fieldsUsage count="2">
        <fieldUsage x="-1"/>
        <fieldUsage x="1"/>
      </fieldsUsage>
    </cacheHierarchy>
    <cacheHierarchy uniqueName="[Calender _Table].[Date (Month)]" caption="Date (Month)" attribute="1" defaultMemberUniqueName="[Calender _Table].[Date (Month)].[All]" allUniqueName="[Calender _Table].[Date (Month)].[All]" dimensionUniqueName="[Calender _Table]" displayFolder="" count="2" memberValueDatatype="130" unbalanced="0">
      <fieldsUsage count="2">
        <fieldUsage x="-1"/>
        <fieldUsage x="0"/>
      </fieldsUsage>
    </cacheHierarchy>
    <cacheHierarchy uniqueName="[Calender _Table].[Date (Day)]" caption="Date (Day)" attribute="1" defaultMemberUniqueName="[Calender _Table].[Date (Day)].[All]" allUniqueName="[Calender _Table].[Date (Day)].[All]" dimensionUniqueName="[Calender _Table]" displayFolder="" count="0" memberValueDatatype="130" unbalanced="0"/>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3"/>
      </fieldsUsage>
    </cacheHierarchy>
    <cacheHierarchy uniqueName="[Calender _Table].[Date (Quarter)]" caption="Date (Quarter)" attribute="1" defaultMemberUniqueName="[Calender _Table].[Date (Quarter)].[All]" allUniqueName="[Calender _Table].[Date (Quarter)].[All]" dimensionUniqueName="[Calender _Table]" displayFolder="" count="2" memberValueDatatype="130" unbalanced="0">
      <fieldsUsage count="2">
        <fieldUsage x="-1"/>
        <fieldUsage x="2"/>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Calender _Table]" caption="__XL_Count Calender _Table" measure="1" displayFolder="" measureGroup="Calender _Table" count="0" hidden="1"/>
    <cacheHierarchy uniqueName="[Measures].[__XL_Count Hospital Emergency Room Data  1]" caption="__XL_Count Hospital Emergency Room Data  1" measure="1" displayFolder="" measureGroup="Hospital Emergency Room Data  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1" uniqueName="[Hospital Emergency Room Data  1]" caption="Hospital Emergency Room Data  1"/>
    <dimension measure="1" name="Measures" uniqueName="[Measures]" caption="Measures"/>
  </dimensions>
  <measureGroups count="2">
    <measureGroup name="Calender _Table" caption="Calender 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refreshedDate="46223.450605439815" createdVersion="3" refreshedVersion="8" minRefreshableVersion="3" recordCount="0" supportSubquery="1" supportAdvancedDrill="1" xr:uid="{02910A1C-A879-4A7C-9CE3-02BE992036D4}">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cacheHierarchy uniqueName="[Calender _Table].[Date (Day)]" caption="Date (Day)" attribute="1" defaultMemberUniqueName="[Calender _Table].[Date (Day)].[All]" allUniqueName="[Calender _Table].[Date (Day)].[All]" dimensionUniqueName="[Calender _Table]" displayFolder="" count="0" memberValueDatatype="130" unbalanced="0"/>
    <cacheHierarchy uniqueName="[Calender _Table].[Date (Year)]" caption="Date (Year)" attribute="1" defaultMemberUniqueName="[Calender _Table].[Date (Year)].[All]" allUniqueName="[Calender _Table].[Date (Year)].[All]" dimensionUniqueName="[Calender _Table]" displayFolder="" count="2" memberValueDatatype="130" unbalanced="0"/>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Calender _Table]" caption="__XL_Count Calender _Table" measure="1" displayFolder="" measureGroup="Calender _Table" count="0" hidden="1"/>
    <cacheHierarchy uniqueName="[Measures].[__XL_Count Hospital Emergency Room Data  1]" caption="__XL_Count Hospital Emergency Room Data  1" measure="1" displayFolder="" measureGroup="Hospital Emergency Room Data  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46473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29F521-7BFE-4B37-9566-CFFBE9C6CC24}" name="PivotTable5" cacheId="1465" applyNumberFormats="0" applyBorderFormats="0" applyFontFormats="0" applyPatternFormats="0" applyAlignmentFormats="0" applyWidthHeightFormats="1" dataCaption="Values" tag="376a3a84-a92a-4519-b1ff-6335cdd84f1d" updatedVersion="8" minRefreshableVersion="3" subtotalHiddenItems="1" itemPrintTitles="1" createdVersion="5" indent="0" outline="1" outlineData="1" multipleFieldFilters="0" chartFormat="31" rowHeaderCaption=" Row labels">
  <location ref="O4:P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493">
      <pivotArea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_Table].[Date (Month)].&amp;[Apr]"/>
      </members>
    </pivotHierarchy>
    <pivotHierarchy dragToData="1"/>
    <pivotHierarchy multipleItemSelectionAllowed="1" dragToData="1">
      <members count="1" level="1">
        <member name="[Calender 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F29745-A8DD-4096-ADB3-F4F37C7A4AF1}" name="PivotTable9" cacheId="1477" applyNumberFormats="0" applyBorderFormats="0" applyFontFormats="0" applyPatternFormats="0" applyAlignmentFormats="0" applyWidthHeightFormats="1" dataCaption="Values" tag="49ec61da-baf2-4eef-be83-2c3ce1d0a4e1" updatedVersion="8" minRefreshableVersion="3" subtotalHiddenItems="1" itemPrintTitles="1" createdVersion="5" indent="0" outline="1" outlineData="1" multipleFieldFilters="0" chartFormat="28">
  <location ref="A68:B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496">
      <pivotArea outline="0" collapsedLevelsAreSubtotals="1" fieldPosition="0"/>
    </format>
    <format dxfId="495">
      <pivotArea collapsedLevelsAreSubtotals="1" fieldPosition="0">
        <references count="1">
          <reference field="1" count="0"/>
        </references>
      </pivotArea>
    </format>
    <format dxfId="494">
      <pivotArea grandRow="1" outline="0" collapsedLevelsAreSubtotals="1" fieldPosition="0"/>
    </format>
  </formats>
  <chartFormats count="3">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1" count="1" selected="0">
            <x v="0"/>
          </reference>
        </references>
      </pivotArea>
    </chartFormat>
    <chartFormat chart="2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_Table].[Date (Month)].&amp;[Apr]"/>
      </members>
    </pivotHierarchy>
    <pivotHierarchy dragToData="1"/>
    <pivotHierarchy multipleItemSelectionAllowed="1" dragToData="1">
      <members count="1" level="1">
        <member name="[Calender 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8BDFC8-3B28-47A0-A043-7AF6C97EE6B9}" name="PivotTable7" cacheId="1471" applyNumberFormats="0" applyBorderFormats="0" applyFontFormats="0" applyPatternFormats="0" applyAlignmentFormats="0" applyWidthHeightFormats="1" dataCaption="Values" tag="49ec61da-baf2-4eef-be83-2c3ce1d0a4e1" updatedVersion="8" minRefreshableVersion="3" subtotalHiddenItems="1" itemPrintTitles="1" createdVersion="5" indent="0" outline="1" outlineData="1" multipleFieldFilters="0" chartFormat="17">
  <location ref="A38:C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498">
      <pivotArea outline="0" collapsedLevelsAreSubtotals="1" fieldPosition="0"/>
    </format>
    <format dxfId="497">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 _Table].[Date (Month)].&amp;[Apr]"/>
      </members>
    </pivotHierarchy>
    <pivotHierarchy dragToData="1"/>
    <pivotHierarchy multipleItemSelectionAllowed="1" dragToData="1">
      <members count="1" level="1">
        <member name="[Calender 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1D46C9-DEA8-4159-A4A0-421EF1433731}" name="PivotTable2" cacheId="1459" applyNumberFormats="0" applyBorderFormats="0" applyFontFormats="0" applyPatternFormats="0" applyAlignmentFormats="0" applyWidthHeightFormats="1" dataCaption="Values" tag="ff43a3e2-c200-444c-961d-e9b0164577a0"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99">
      <pivotArea outline="0" collapsedLevelsAreSubtotals="1" fieldPosition="0"/>
    </format>
  </formats>
  <pivotHierarchies count="34">
    <pivotHierarchy dragToData="1"/>
    <pivotHierarchy multipleItemSelectionAllowed="1" dragToData="1">
      <members count="1" level="1">
        <member name="[Calender _Table].[Date (Month)].&amp;[Apr]"/>
      </members>
    </pivotHierarchy>
    <pivotHierarchy dragToData="1"/>
    <pivotHierarchy multipleItemSelectionAllowed="1" dragToData="1">
      <members count="1" level="1">
        <member name="[Calender 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E15AFF-E1DF-40CA-A2E9-43D8B9EB1911}" name="PivotTable12" cacheId="1486" applyNumberFormats="0" applyBorderFormats="0" applyFontFormats="0" applyPatternFormats="0" applyAlignmentFormats="0" applyWidthHeightFormats="1" dataCaption="Values" tag="49ec61da-baf2-4eef-be83-2c3ce1d0a4e1" updatedVersion="8" minRefreshableVersion="3" subtotalHiddenItems="1" itemPrintTitles="1" createdVersion="5" indent="0" outline="1" outlineData="1" multipleFieldFilters="0" chartFormat="33">
  <location ref="A99:A10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501">
      <pivotArea outline="0" collapsedLevelsAreSubtotals="1" fieldPosition="0"/>
    </format>
    <format dxfId="500">
      <pivotArea grandRow="1" outline="0" collapsedLevelsAreSubtotals="1" fieldPosition="0"/>
    </format>
  </formats>
  <pivotHierarchies count="34">
    <pivotHierarchy dragToData="1"/>
    <pivotHierarchy multipleItemSelectionAllowed="1" dragToData="1">
      <members count="1" level="1">
        <member name="[Calender 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739D07-51CF-4B5C-BD01-02A2270CDB82}" name="PivotTable4" cacheId="1453" applyNumberFormats="0" applyBorderFormats="0" applyFontFormats="0" applyPatternFormats="0" applyAlignmentFormats="0" applyWidthHeightFormats="1" dataCaption="Values" tag="376a3a84-a92a-4519-b1ff-6335cdd84f1d" updatedVersion="8" minRefreshableVersion="3" subtotalHiddenItems="1" itemPrintTitles="1" createdVersion="5" indent="0" outline="1" outlineData="1" multipleFieldFilters="0" chartFormat="20" rowHeaderCaption=" Row labels">
  <location ref="D4:E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5"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30"/>
          </reference>
        </references>
      </pivotArea>
    </chartFormat>
  </chartFormats>
  <pivotHierarchies count="34">
    <pivotHierarchy dragToData="1"/>
    <pivotHierarchy multipleItemSelectionAllowed="1" dragToData="1">
      <members count="1" level="1">
        <member name="[Calender _Table].[Date (Month)].&amp;[Apr]"/>
      </members>
    </pivotHierarchy>
    <pivotHierarchy dragToData="1"/>
    <pivotHierarchy multipleItemSelectionAllowed="1" dragToData="1">
      <members count="1" level="1">
        <member name="[Calender 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AAA29A-09DD-4B8A-B351-906F923AEF4C}" name="PivotTable3" cacheId="1462" applyNumberFormats="0" applyBorderFormats="0" applyFontFormats="0" applyPatternFormats="0" applyAlignmentFormats="0" applyWidthHeightFormats="1" dataCaption="Values" tag="49ec61da-baf2-4eef-be83-2c3ce1d0a4e1"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02">
      <pivotArea outline="0" collapsedLevelsAreSubtotals="1" fieldPosition="0"/>
    </format>
  </formats>
  <pivotHierarchies count="34">
    <pivotHierarchy dragToData="1"/>
    <pivotHierarchy multipleItemSelectionAllowed="1" dragToData="1">
      <members count="1" level="1">
        <member name="[Calender _Table].[Date (Month)].&amp;[Apr]"/>
      </members>
    </pivotHierarchy>
    <pivotHierarchy dragToData="1"/>
    <pivotHierarchy multipleItemSelectionAllowed="1" dragToData="1">
      <members count="1" level="1">
        <member name="[Calender 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F7FA1D-ACA9-47D7-BF6A-69942A725DA1}" name="PivotTable10" cacheId="1480" applyNumberFormats="0" applyBorderFormats="0" applyFontFormats="0" applyPatternFormats="0" applyAlignmentFormats="0" applyWidthHeightFormats="1" dataCaption="Values" tag="49ec61da-baf2-4eef-be83-2c3ce1d0a4e1" updatedVersion="8" minRefreshableVersion="3" subtotalHiddenItems="1" itemPrintTitles="1" createdVersion="5" indent="0" outline="1" outlineData="1" multipleFieldFilters="0" chartFormat="33">
  <location ref="A77:B8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504">
      <pivotArea outline="0" collapsedLevelsAreSubtotals="1" fieldPosition="0"/>
    </format>
    <format dxfId="503">
      <pivotArea grandRow="1" outline="0" collapsedLevelsAreSubtotals="1" fieldPosition="0"/>
    </format>
  </formats>
  <chartFormats count="3">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1" count="1" selected="0">
            <x v="0"/>
          </reference>
        </references>
      </pivotArea>
    </chartFormat>
    <chartFormat chart="3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_Table].[Date (Month)].&amp;[Apr]"/>
      </members>
    </pivotHierarchy>
    <pivotHierarchy dragToData="1"/>
    <pivotHierarchy multipleItemSelectionAllowed="1" dragToData="1">
      <members count="1" level="1">
        <member name="[Calender 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60074A-8888-4AD4-9F70-17D9E56784D5}" name="PivotTable6" cacheId="1468" applyNumberFormats="0" applyBorderFormats="0" applyFontFormats="0" applyPatternFormats="0" applyAlignmentFormats="0" applyWidthHeightFormats="1" dataCaption="Values" tag="376a3a84-a92a-4519-b1ff-6335cdd84f1d" updatedVersion="8" minRefreshableVersion="3" subtotalHiddenItems="1" itemPrintTitles="1" createdVersion="5" indent="0" outline="1" outlineData="1" multipleFieldFilters="0" chartFormat="31" rowHeaderCaption=" Row labels">
  <location ref="J4:K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numFmtId="2"/>
  </dataFields>
  <formats count="1">
    <format dxfId="505">
      <pivotArea outline="0" collapsedLevelsAreSubtotals="1" fieldPosition="0"/>
    </format>
  </formats>
  <chartFormats count="2">
    <chartFormat chart="24"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_Table].[Date (Month)].&amp;[Apr]"/>
      </members>
    </pivotHierarchy>
    <pivotHierarchy dragToData="1"/>
    <pivotHierarchy multipleItemSelectionAllowed="1" dragToData="1">
      <members count="1" level="1">
        <member name="[Calender 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9BB513-D396-4D7D-A069-AA8922357305}" name="PivotTable1" cacheId="1456" applyNumberFormats="0" applyBorderFormats="0" applyFontFormats="0" applyPatternFormats="0" applyAlignmentFormats="0" applyWidthHeightFormats="1" dataCaption="Values" tag="417d4ec3-8e2a-4dbd-9a2f-934ea697d725"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 _Table].[Date (Month)].&amp;[Apr]"/>
      </members>
    </pivotHierarchy>
    <pivotHierarchy dragToData="1"/>
    <pivotHierarchy multipleItemSelectionAllowed="1" dragToData="1">
      <members count="1" level="1">
        <member name="[Calender 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7D97163-F0CE-43CC-85FF-660654969549}" name="PivotTable11" cacheId="1483" applyNumberFormats="0" applyBorderFormats="0" applyFontFormats="0" applyPatternFormats="0" applyAlignmentFormats="0" applyWidthHeightFormats="1" dataCaption="Values" tag="49ec61da-baf2-4eef-be83-2c3ce1d0a4e1" updatedVersion="8" minRefreshableVersion="3" subtotalHiddenItems="1" itemPrintTitles="1" createdVersion="5" indent="0" outline="1" outlineData="1" multipleFieldFilters="0" chartFormat="38">
  <location ref="A85:B9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6"/>
    </i>
    <i>
      <x v="1"/>
    </i>
    <i>
      <x/>
    </i>
    <i>
      <x v="5"/>
    </i>
    <i>
      <x v="2"/>
    </i>
    <i>
      <x v="4"/>
    </i>
    <i t="grand">
      <x/>
    </i>
  </rowItems>
  <colItems count="1">
    <i/>
  </colItems>
  <dataFields count="1">
    <dataField name="Count of Department Referral" fld="2" subtotal="count" baseField="0" baseItem="0"/>
  </dataFields>
  <formats count="3">
    <format dxfId="508">
      <pivotArea outline="0" collapsedLevelsAreSubtotals="1" fieldPosition="0"/>
    </format>
    <format dxfId="507">
      <pivotArea grandRow="1" outline="0" collapsedLevelsAreSubtotals="1" fieldPosition="0"/>
    </format>
    <format dxfId="506">
      <pivotArea collapsedLevelsAreSubtotals="1" fieldPosition="0">
        <references count="1">
          <reference field="1" count="0"/>
        </references>
      </pivotArea>
    </format>
  </formats>
  <chartFormats count="2">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_Table].[Date (Month)].&amp;[Apr]"/>
      </members>
    </pivotHierarchy>
    <pivotHierarchy dragToData="1"/>
    <pivotHierarchy multipleItemSelectionAllowed="1" dragToData="1">
      <members count="1" level="1">
        <member name="[Calender 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C0D39BB-5C2C-463B-9114-7FBA6E1A5F1D}" name="PivotTable8" cacheId="1474" applyNumberFormats="0" applyBorderFormats="0" applyFontFormats="0" applyPatternFormats="0" applyAlignmentFormats="0" applyWidthHeightFormats="1" dataCaption="Values" tag="49ec61da-baf2-4eef-be83-2c3ce1d0a4e1" updatedVersion="8" minRefreshableVersion="3" subtotalHiddenItems="1" itemPrintTitles="1" createdVersion="5" indent="0" outline="1" outlineData="1" multipleFieldFilters="0" chartFormat="22">
  <location ref="A54:B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509">
      <pivotArea outline="0" collapsedLevelsAreSubtotals="1" fieldPosition="0"/>
    </format>
  </formats>
  <chartFormats count="1">
    <chartFormat chart="2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_Table].[Date (Month)].&amp;[Apr]"/>
      </members>
    </pivotHierarchy>
    <pivotHierarchy dragToData="1"/>
    <pivotHierarchy multipleItemSelectionAllowed="1" dragToData="1">
      <members count="1" level="1">
        <member name="[Calender 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8E8F55E-E689-4197-8A17-0E303DC10241}" sourceName="[Calender 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94647388">
      <levels count="2">
        <level uniqueName="[Calender _Table].[Date (Month)].[(All)]" sourceCaption="(All)" count="0"/>
        <level uniqueName="[Calender _Table].[Date (Month)].[Date (Month)]" sourceCaption="Date (Month)" count="12">
          <ranges>
            <range startItem="0">
              <i n="[Calender _Table].[Date (Month)].&amp;[Apr]" c="Apr"/>
              <i n="[Calender _Table].[Date (Month)].&amp;[May]" c="May"/>
              <i n="[Calender _Table].[Date (Month)].&amp;[Jun]" c="Jun"/>
              <i n="[Calender _Table].[Date (Month)].&amp;[Jul]" c="Jul"/>
              <i n="[Calender _Table].[Date (Month)].&amp;[Aug]" c="Aug"/>
              <i n="[Calender _Table].[Date (Month)].&amp;[Sep]" c="Sep"/>
              <i n="[Calender _Table].[Date (Month)].&amp;[Oct]" c="Oct"/>
              <i n="[Calender _Table].[Date (Month)].&amp;[Nov]" c="Nov"/>
              <i n="[Calender _Table].[Date (Month)].&amp;[Dec]" c="Dec"/>
              <i n="[Calender _Table].[Date (Month)].&amp;[Jan]" c="Jan"/>
              <i n="[Calender _Table].[Date (Month)].&amp;[Feb]" c="Feb"/>
              <i n="[Calender _Table].[Date (Month)].&amp;[Mar]" c="Mar"/>
            </range>
          </ranges>
        </level>
      </levels>
      <selections count="1">
        <selection n="[Calender 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B96F37B-F6BB-4BE2-943D-CE9717FF760E}" sourceName="[Calender 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94647388">
      <levels count="2">
        <level uniqueName="[Calender _Table].[Date (Year)].[(All)]" sourceCaption="(All)" count="0"/>
        <level uniqueName="[Calender _Table].[Date (Year)].[Date (Year)]" sourceCaption="Date (Year)" count="2">
          <ranges>
            <range startItem="0">
              <i n="[Calender _Table].[Date (Year)].&amp;[2023]" c="2023"/>
              <i n="[Calender _Table].[Date (Year)].&amp;[2024]" c="2024"/>
            </range>
          </ranges>
        </level>
      </levels>
      <selections count="1">
        <selection n="[Calender 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8BBE5E92-0C4B-4867-A08C-A300DBB4B763}" cache="Slicer_Date__Month" caption="Date (Month)" showCaption="0" level="1" style=" My Slicier" rowHeight="147600"/>
  <slicer name="Date (Year)" xr10:uid="{E73BB270-A8D1-4955-8206-4F0368B4EEEF}" cache="Slicer_Date__Year" caption="Date (Year)" columnCount="2" showCaption="0" level="1" style=" My Slicier" rowHeight="237771"/>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11E58-9F82-46E7-96D7-114A47FDDB64}">
  <dimension ref="A3:P101"/>
  <sheetViews>
    <sheetView topLeftCell="A71" workbookViewId="0">
      <selection activeCell="A99" sqref="A99:B102"/>
    </sheetView>
  </sheetViews>
  <sheetFormatPr defaultRowHeight="14.35" x14ac:dyDescent="0.5"/>
  <cols>
    <col min="1" max="1" width="15" customWidth="1"/>
    <col min="2" max="2" width="19.234375" customWidth="1"/>
    <col min="3" max="3" width="10.9375" customWidth="1"/>
    <col min="4" max="4" width="13.3515625" customWidth="1"/>
    <col min="5" max="5" width="22.5859375" bestFit="1" customWidth="1"/>
    <col min="10" max="10" width="12.1171875" bestFit="1" customWidth="1"/>
    <col min="11" max="11" width="30.76171875" bestFit="1" customWidth="1"/>
    <col min="13" max="13" width="15.17578125" bestFit="1" customWidth="1"/>
    <col min="14" max="14" width="22.5859375" bestFit="1" customWidth="1"/>
    <col min="15" max="15" width="15.17578125" bestFit="1" customWidth="1"/>
    <col min="16" max="16" width="23.87890625" bestFit="1" customWidth="1"/>
  </cols>
  <sheetData>
    <row r="3" spans="1:16" x14ac:dyDescent="0.5">
      <c r="A3" t="s">
        <v>1</v>
      </c>
      <c r="D3" t="s">
        <v>8</v>
      </c>
      <c r="O3" t="s">
        <v>9</v>
      </c>
    </row>
    <row r="4" spans="1:16" x14ac:dyDescent="0.5">
      <c r="A4" t="s">
        <v>0</v>
      </c>
      <c r="D4" s="1" t="s">
        <v>6</v>
      </c>
      <c r="E4" t="s">
        <v>0</v>
      </c>
      <c r="J4" s="1" t="s">
        <v>6</v>
      </c>
      <c r="K4" t="s">
        <v>3</v>
      </c>
      <c r="O4" s="1" t="s">
        <v>6</v>
      </c>
      <c r="P4" t="s">
        <v>2</v>
      </c>
    </row>
    <row r="5" spans="1:16" x14ac:dyDescent="0.5">
      <c r="A5" s="19">
        <v>479</v>
      </c>
      <c r="D5" s="4" t="s">
        <v>47</v>
      </c>
      <c r="E5" s="19">
        <v>19</v>
      </c>
      <c r="J5" s="4" t="s">
        <v>47</v>
      </c>
      <c r="K5" s="2">
        <v>3.8</v>
      </c>
      <c r="O5" s="4" t="s">
        <v>47</v>
      </c>
      <c r="P5" s="2">
        <v>40.473684210526315</v>
      </c>
    </row>
    <row r="6" spans="1:16" x14ac:dyDescent="0.5">
      <c r="D6" s="4" t="s">
        <v>48</v>
      </c>
      <c r="E6" s="19">
        <v>13</v>
      </c>
      <c r="J6" s="4" t="s">
        <v>48</v>
      </c>
      <c r="K6" s="2">
        <v>7.75</v>
      </c>
      <c r="O6" s="4" t="s">
        <v>48</v>
      </c>
      <c r="P6" s="2">
        <v>29.46153846153846</v>
      </c>
    </row>
    <row r="7" spans="1:16" x14ac:dyDescent="0.5">
      <c r="D7" s="4" t="s">
        <v>49</v>
      </c>
      <c r="E7" s="19">
        <v>14</v>
      </c>
      <c r="J7" s="4" t="s">
        <v>49</v>
      </c>
      <c r="K7" s="2">
        <v>4.5999999999999996</v>
      </c>
      <c r="O7" s="4" t="s">
        <v>49</v>
      </c>
      <c r="P7" s="2">
        <v>33.928571428571431</v>
      </c>
    </row>
    <row r="8" spans="1:16" x14ac:dyDescent="0.5">
      <c r="A8" t="s">
        <v>2</v>
      </c>
      <c r="D8" s="4" t="s">
        <v>50</v>
      </c>
      <c r="E8" s="19">
        <v>9</v>
      </c>
      <c r="J8" s="4" t="s">
        <v>50</v>
      </c>
      <c r="K8" s="2">
        <v>6</v>
      </c>
      <c r="O8" s="4" t="s">
        <v>50</v>
      </c>
      <c r="P8" s="2">
        <v>32.222222222222221</v>
      </c>
    </row>
    <row r="9" spans="1:16" x14ac:dyDescent="0.5">
      <c r="A9" s="2">
        <v>34.90187891440501</v>
      </c>
      <c r="D9" s="4" t="s">
        <v>51</v>
      </c>
      <c r="E9" s="19">
        <v>19</v>
      </c>
      <c r="J9" s="4" t="s">
        <v>51</v>
      </c>
      <c r="K9" s="2">
        <v>5.5714285714285712</v>
      </c>
      <c r="O9" s="4" t="s">
        <v>51</v>
      </c>
      <c r="P9" s="2">
        <v>35.736842105263158</v>
      </c>
    </row>
    <row r="10" spans="1:16" x14ac:dyDescent="0.5">
      <c r="D10" s="4" t="s">
        <v>52</v>
      </c>
      <c r="E10" s="19">
        <v>14</v>
      </c>
      <c r="J10" s="4" t="s">
        <v>52</v>
      </c>
      <c r="K10" s="2">
        <v>2</v>
      </c>
      <c r="O10" s="4" t="s">
        <v>52</v>
      </c>
      <c r="P10" s="2">
        <v>30.142857142857142</v>
      </c>
    </row>
    <row r="11" spans="1:16" x14ac:dyDescent="0.5">
      <c r="A11" t="s">
        <v>3</v>
      </c>
      <c r="D11" s="4" t="s">
        <v>53</v>
      </c>
      <c r="E11" s="19">
        <v>11</v>
      </c>
      <c r="J11" s="4" t="s">
        <v>53</v>
      </c>
      <c r="K11" s="2">
        <v>8</v>
      </c>
      <c r="O11" s="4" t="s">
        <v>53</v>
      </c>
      <c r="P11" s="2">
        <v>33.81818181818182</v>
      </c>
    </row>
    <row r="12" spans="1:16" x14ac:dyDescent="0.5">
      <c r="A12" s="2">
        <v>5.3034482758620687</v>
      </c>
      <c r="D12" s="4" t="s">
        <v>54</v>
      </c>
      <c r="E12" s="19">
        <v>22</v>
      </c>
      <c r="J12" s="4" t="s">
        <v>54</v>
      </c>
      <c r="K12" s="2">
        <v>8</v>
      </c>
      <c r="O12" s="4" t="s">
        <v>54</v>
      </c>
      <c r="P12" s="2">
        <v>31.681818181818183</v>
      </c>
    </row>
    <row r="13" spans="1:16" x14ac:dyDescent="0.5">
      <c r="D13" s="4" t="s">
        <v>55</v>
      </c>
      <c r="E13" s="19">
        <v>12</v>
      </c>
      <c r="J13" s="4" t="s">
        <v>55</v>
      </c>
      <c r="K13" s="2">
        <v>5.25</v>
      </c>
      <c r="O13" s="4" t="s">
        <v>55</v>
      </c>
      <c r="P13" s="2">
        <v>36.416666666666664</v>
      </c>
    </row>
    <row r="14" spans="1:16" x14ac:dyDescent="0.5">
      <c r="D14" s="4" t="s">
        <v>56</v>
      </c>
      <c r="E14" s="19">
        <v>13</v>
      </c>
      <c r="J14" s="4" t="s">
        <v>56</v>
      </c>
      <c r="K14" s="2">
        <v>6</v>
      </c>
      <c r="O14" s="4" t="s">
        <v>56</v>
      </c>
      <c r="P14" s="2">
        <v>33.692307692307693</v>
      </c>
    </row>
    <row r="15" spans="1:16" x14ac:dyDescent="0.5">
      <c r="D15" s="4" t="s">
        <v>57</v>
      </c>
      <c r="E15" s="19">
        <v>17</v>
      </c>
      <c r="J15" s="4" t="s">
        <v>57</v>
      </c>
      <c r="K15" s="2">
        <v>6.5</v>
      </c>
      <c r="O15" s="4" t="s">
        <v>57</v>
      </c>
      <c r="P15" s="2">
        <v>39.117647058823529</v>
      </c>
    </row>
    <row r="16" spans="1:16" x14ac:dyDescent="0.5">
      <c r="D16" s="4" t="s">
        <v>58</v>
      </c>
      <c r="E16" s="19">
        <v>30</v>
      </c>
      <c r="J16" s="4" t="s">
        <v>58</v>
      </c>
      <c r="K16" s="2">
        <v>5.75</v>
      </c>
      <c r="O16" s="4" t="s">
        <v>58</v>
      </c>
      <c r="P16" s="2">
        <v>36.93333333333333</v>
      </c>
    </row>
    <row r="17" spans="4:16" x14ac:dyDescent="0.5">
      <c r="D17" s="4" t="s">
        <v>59</v>
      </c>
      <c r="E17" s="19">
        <v>13</v>
      </c>
      <c r="J17" s="4" t="s">
        <v>59</v>
      </c>
      <c r="K17" s="2">
        <v>5.6</v>
      </c>
      <c r="O17" s="4" t="s">
        <v>59</v>
      </c>
      <c r="P17" s="2">
        <v>29.923076923076923</v>
      </c>
    </row>
    <row r="18" spans="4:16" x14ac:dyDescent="0.5">
      <c r="D18" s="4" t="s">
        <v>60</v>
      </c>
      <c r="E18" s="19">
        <v>21</v>
      </c>
      <c r="J18" s="4" t="s">
        <v>60</v>
      </c>
      <c r="K18" s="2">
        <v>6.5</v>
      </c>
      <c r="O18" s="4" t="s">
        <v>60</v>
      </c>
      <c r="P18" s="2">
        <v>31.666666666666668</v>
      </c>
    </row>
    <row r="19" spans="4:16" x14ac:dyDescent="0.5">
      <c r="D19" s="4" t="s">
        <v>61</v>
      </c>
      <c r="E19" s="19">
        <v>12</v>
      </c>
      <c r="J19" s="4" t="s">
        <v>61</v>
      </c>
      <c r="K19" s="2">
        <v>5.666666666666667</v>
      </c>
      <c r="O19" s="4" t="s">
        <v>61</v>
      </c>
      <c r="P19" s="2">
        <v>40.25</v>
      </c>
    </row>
    <row r="20" spans="4:16" x14ac:dyDescent="0.5">
      <c r="D20" s="4" t="s">
        <v>62</v>
      </c>
      <c r="E20" s="19">
        <v>17</v>
      </c>
      <c r="J20" s="4" t="s">
        <v>62</v>
      </c>
      <c r="K20" s="2">
        <v>5.666666666666667</v>
      </c>
      <c r="O20" s="4" t="s">
        <v>62</v>
      </c>
      <c r="P20" s="2">
        <v>30</v>
      </c>
    </row>
    <row r="21" spans="4:16" x14ac:dyDescent="0.5">
      <c r="D21" s="4" t="s">
        <v>63</v>
      </c>
      <c r="E21" s="19">
        <v>16</v>
      </c>
      <c r="J21" s="4" t="s">
        <v>63</v>
      </c>
      <c r="K21" s="2">
        <v>5.8</v>
      </c>
      <c r="O21" s="4" t="s">
        <v>63</v>
      </c>
      <c r="P21" s="2">
        <v>35</v>
      </c>
    </row>
    <row r="22" spans="4:16" x14ac:dyDescent="0.5">
      <c r="D22" s="4" t="s">
        <v>64</v>
      </c>
      <c r="E22" s="19">
        <v>20</v>
      </c>
      <c r="J22" s="4" t="s">
        <v>64</v>
      </c>
      <c r="K22" s="2">
        <v>4.666666666666667</v>
      </c>
      <c r="O22" s="4" t="s">
        <v>64</v>
      </c>
      <c r="P22" s="2">
        <v>41.85</v>
      </c>
    </row>
    <row r="23" spans="4:16" x14ac:dyDescent="0.5">
      <c r="D23" s="4" t="s">
        <v>65</v>
      </c>
      <c r="E23" s="19">
        <v>18</v>
      </c>
      <c r="J23" s="4" t="s">
        <v>65</v>
      </c>
      <c r="K23" s="2">
        <v>4.833333333333333</v>
      </c>
      <c r="O23" s="4" t="s">
        <v>65</v>
      </c>
      <c r="P23" s="2">
        <v>33.277777777777779</v>
      </c>
    </row>
    <row r="24" spans="4:16" x14ac:dyDescent="0.5">
      <c r="D24" s="4" t="s">
        <v>66</v>
      </c>
      <c r="E24" s="19">
        <v>16</v>
      </c>
      <c r="J24" s="4" t="s">
        <v>66</v>
      </c>
      <c r="K24" s="2">
        <v>2.3333333333333335</v>
      </c>
      <c r="O24" s="4" t="s">
        <v>66</v>
      </c>
      <c r="P24" s="2">
        <v>32.9375</v>
      </c>
    </row>
    <row r="25" spans="4:16" x14ac:dyDescent="0.5">
      <c r="D25" s="4" t="s">
        <v>67</v>
      </c>
      <c r="E25" s="19">
        <v>15</v>
      </c>
      <c r="J25" s="4" t="s">
        <v>67</v>
      </c>
      <c r="K25" s="2">
        <v>4.5</v>
      </c>
      <c r="O25" s="4" t="s">
        <v>67</v>
      </c>
      <c r="P25" s="2">
        <v>33.266666666666666</v>
      </c>
    </row>
    <row r="26" spans="4:16" x14ac:dyDescent="0.5">
      <c r="D26" s="4" t="s">
        <v>68</v>
      </c>
      <c r="E26" s="19">
        <v>18</v>
      </c>
      <c r="J26" s="4" t="s">
        <v>68</v>
      </c>
      <c r="K26" s="2">
        <v>6.666666666666667</v>
      </c>
      <c r="O26" s="4" t="s">
        <v>68</v>
      </c>
      <c r="P26" s="2">
        <v>34.444444444444443</v>
      </c>
    </row>
    <row r="27" spans="4:16" x14ac:dyDescent="0.5">
      <c r="D27" s="4" t="s">
        <v>69</v>
      </c>
      <c r="E27" s="19">
        <v>12</v>
      </c>
      <c r="J27" s="4" t="s">
        <v>69</v>
      </c>
      <c r="K27" s="2">
        <v>7.5</v>
      </c>
      <c r="O27" s="4" t="s">
        <v>69</v>
      </c>
      <c r="P27" s="2">
        <v>43.416666666666664</v>
      </c>
    </row>
    <row r="28" spans="4:16" x14ac:dyDescent="0.5">
      <c r="D28" s="4" t="s">
        <v>70</v>
      </c>
      <c r="E28" s="19">
        <v>14</v>
      </c>
      <c r="J28" s="4" t="s">
        <v>70</v>
      </c>
      <c r="K28" s="2">
        <v>5.2857142857142856</v>
      </c>
      <c r="O28" s="4" t="s">
        <v>70</v>
      </c>
      <c r="P28" s="2">
        <v>36.357142857142854</v>
      </c>
    </row>
    <row r="29" spans="4:16" x14ac:dyDescent="0.5">
      <c r="D29" s="4" t="s">
        <v>71</v>
      </c>
      <c r="E29" s="19">
        <v>18</v>
      </c>
      <c r="J29" s="4" t="s">
        <v>71</v>
      </c>
      <c r="K29" s="2">
        <v>2.875</v>
      </c>
      <c r="O29" s="4" t="s">
        <v>71</v>
      </c>
      <c r="P29" s="2">
        <v>40.611111111111114</v>
      </c>
    </row>
    <row r="30" spans="4:16" x14ac:dyDescent="0.5">
      <c r="D30" s="4" t="s">
        <v>72</v>
      </c>
      <c r="E30" s="19">
        <v>16</v>
      </c>
      <c r="J30" s="4" t="s">
        <v>72</v>
      </c>
      <c r="K30" s="2">
        <v>6.25</v>
      </c>
      <c r="O30" s="4" t="s">
        <v>72</v>
      </c>
      <c r="P30" s="2">
        <v>29.875</v>
      </c>
    </row>
    <row r="31" spans="4:16" x14ac:dyDescent="0.5">
      <c r="D31" s="4" t="s">
        <v>73</v>
      </c>
      <c r="E31" s="19">
        <v>16</v>
      </c>
      <c r="J31" s="4" t="s">
        <v>73</v>
      </c>
      <c r="K31" s="2">
        <v>6.125</v>
      </c>
      <c r="O31" s="4" t="s">
        <v>73</v>
      </c>
      <c r="P31" s="2">
        <v>33.5</v>
      </c>
    </row>
    <row r="32" spans="4:16" x14ac:dyDescent="0.5">
      <c r="D32" s="4" t="s">
        <v>74</v>
      </c>
      <c r="E32" s="19">
        <v>16</v>
      </c>
      <c r="J32" s="4" t="s">
        <v>74</v>
      </c>
      <c r="K32" s="2">
        <v>5.75</v>
      </c>
      <c r="O32" s="4" t="s">
        <v>74</v>
      </c>
      <c r="P32" s="2">
        <v>32.5625</v>
      </c>
    </row>
    <row r="33" spans="1:16" x14ac:dyDescent="0.5">
      <c r="D33" s="4" t="s">
        <v>75</v>
      </c>
      <c r="E33" s="19">
        <v>14</v>
      </c>
      <c r="J33" s="4" t="s">
        <v>75</v>
      </c>
      <c r="K33" s="2">
        <v>5.375</v>
      </c>
      <c r="O33" s="4" t="s">
        <v>75</v>
      </c>
      <c r="P33" s="2">
        <v>38.571428571428569</v>
      </c>
    </row>
    <row r="34" spans="1:16" x14ac:dyDescent="0.5">
      <c r="D34" s="4" t="s">
        <v>76</v>
      </c>
      <c r="E34" s="19">
        <v>14</v>
      </c>
      <c r="J34" s="4" t="s">
        <v>76</v>
      </c>
      <c r="K34" s="2">
        <v>5.6</v>
      </c>
      <c r="O34" s="4" t="s">
        <v>76</v>
      </c>
      <c r="P34" s="2">
        <v>32.714285714285715</v>
      </c>
    </row>
    <row r="35" spans="1:16" x14ac:dyDescent="0.5">
      <c r="D35" s="4" t="s">
        <v>5</v>
      </c>
      <c r="E35" s="19">
        <v>479</v>
      </c>
      <c r="J35" s="4" t="s">
        <v>5</v>
      </c>
      <c r="K35" s="2">
        <v>5.3034482758620687</v>
      </c>
      <c r="O35" s="4" t="s">
        <v>5</v>
      </c>
      <c r="P35" s="2">
        <v>34.90187891440501</v>
      </c>
    </row>
    <row r="38" spans="1:16" x14ac:dyDescent="0.5">
      <c r="A38" s="1" t="s">
        <v>4</v>
      </c>
      <c r="B38" t="s">
        <v>36</v>
      </c>
      <c r="C38" t="s">
        <v>37</v>
      </c>
    </row>
    <row r="39" spans="1:16" x14ac:dyDescent="0.5">
      <c r="A39" s="4" t="s">
        <v>18</v>
      </c>
      <c r="B39" s="2">
        <v>237</v>
      </c>
      <c r="C39" s="8">
        <v>0.49478079331941544</v>
      </c>
    </row>
    <row r="40" spans="1:16" x14ac:dyDescent="0.5">
      <c r="A40" s="4" t="s">
        <v>12</v>
      </c>
      <c r="B40" s="2">
        <v>242</v>
      </c>
      <c r="C40" s="8">
        <v>0.50521920668058451</v>
      </c>
    </row>
    <row r="41" spans="1:16" x14ac:dyDescent="0.5">
      <c r="A41" s="4" t="s">
        <v>5</v>
      </c>
      <c r="B41" s="2">
        <v>479</v>
      </c>
      <c r="C41" s="8">
        <v>1</v>
      </c>
    </row>
    <row r="45" spans="1:16" x14ac:dyDescent="0.5">
      <c r="A45" s="13" t="s">
        <v>38</v>
      </c>
      <c r="B45" s="13" t="s">
        <v>39</v>
      </c>
      <c r="C45" s="13" t="s">
        <v>40</v>
      </c>
      <c r="D45" s="9"/>
      <c r="E45" s="11"/>
    </row>
    <row r="46" spans="1:16" x14ac:dyDescent="0.5">
      <c r="A46" s="14" t="str">
        <f>A40</f>
        <v>Not Admitted</v>
      </c>
      <c r="B46" s="14">
        <f>B40</f>
        <v>242</v>
      </c>
      <c r="C46" s="15">
        <f>GETPIVOTDATA("[__Xl2].[Measures].[Count of Patient Admission Flag]",$A$38,"[Hospital Emergency Room Data  1].[Patient Admission Flag]","[Hospital Emergency Room Data  1].[Patient Admission Flag].&amp;[Not Admitted]")</f>
        <v>0.50521920668058451</v>
      </c>
      <c r="D46" s="7"/>
      <c r="E46" s="11"/>
    </row>
    <row r="47" spans="1:16" x14ac:dyDescent="0.5">
      <c r="A47" s="16" t="str">
        <f>A39</f>
        <v>Admitted</v>
      </c>
      <c r="B47" s="16">
        <f>B39</f>
        <v>237</v>
      </c>
      <c r="C47" s="17">
        <f>C39</f>
        <v>0.49478079331941544</v>
      </c>
      <c r="D47" s="10"/>
      <c r="E47" s="12"/>
    </row>
    <row r="53" spans="1:2" x14ac:dyDescent="0.5">
      <c r="A53" t="s">
        <v>42</v>
      </c>
    </row>
    <row r="54" spans="1:2" x14ac:dyDescent="0.5">
      <c r="A54" s="1" t="s">
        <v>4</v>
      </c>
      <c r="B54" t="s">
        <v>41</v>
      </c>
    </row>
    <row r="55" spans="1:2" x14ac:dyDescent="0.5">
      <c r="A55" s="4" t="s">
        <v>13</v>
      </c>
      <c r="B55" s="2">
        <v>70</v>
      </c>
    </row>
    <row r="56" spans="1:2" x14ac:dyDescent="0.5">
      <c r="A56" s="4" t="s">
        <v>16</v>
      </c>
      <c r="B56" s="2">
        <v>67</v>
      </c>
    </row>
    <row r="57" spans="1:2" x14ac:dyDescent="0.5">
      <c r="A57" s="4" t="s">
        <v>23</v>
      </c>
      <c r="B57" s="2">
        <v>64</v>
      </c>
    </row>
    <row r="58" spans="1:2" x14ac:dyDescent="0.5">
      <c r="A58" s="4" t="s">
        <v>26</v>
      </c>
      <c r="B58" s="2">
        <v>60</v>
      </c>
    </row>
    <row r="59" spans="1:2" x14ac:dyDescent="0.5">
      <c r="A59" s="4" t="s">
        <v>21</v>
      </c>
      <c r="B59" s="2">
        <v>42</v>
      </c>
    </row>
    <row r="60" spans="1:2" x14ac:dyDescent="0.5">
      <c r="A60" s="4" t="s">
        <v>19</v>
      </c>
      <c r="B60" s="2">
        <v>53</v>
      </c>
    </row>
    <row r="61" spans="1:2" x14ac:dyDescent="0.5">
      <c r="A61" s="4" t="s">
        <v>17</v>
      </c>
      <c r="B61" s="2">
        <v>71</v>
      </c>
    </row>
    <row r="62" spans="1:2" x14ac:dyDescent="0.5">
      <c r="A62" s="4" t="s">
        <v>27</v>
      </c>
      <c r="B62" s="2">
        <v>52</v>
      </c>
    </row>
    <row r="63" spans="1:2" x14ac:dyDescent="0.5">
      <c r="A63" s="4" t="s">
        <v>5</v>
      </c>
      <c r="B63" s="2">
        <v>479</v>
      </c>
    </row>
    <row r="67" spans="1:2" x14ac:dyDescent="0.5">
      <c r="A67" t="s">
        <v>44</v>
      </c>
    </row>
    <row r="68" spans="1:2" x14ac:dyDescent="0.5">
      <c r="A68" s="1" t="s">
        <v>4</v>
      </c>
      <c r="B68" t="s">
        <v>35</v>
      </c>
    </row>
    <row r="69" spans="1:2" x14ac:dyDescent="0.5">
      <c r="A69" s="4" t="s">
        <v>14</v>
      </c>
      <c r="B69" s="18">
        <v>273</v>
      </c>
    </row>
    <row r="70" spans="1:2" x14ac:dyDescent="0.5">
      <c r="A70" s="4" t="s">
        <v>22</v>
      </c>
      <c r="B70" s="18">
        <v>206</v>
      </c>
    </row>
    <row r="71" spans="1:2" x14ac:dyDescent="0.5">
      <c r="A71" s="4" t="s">
        <v>5</v>
      </c>
      <c r="B71" s="18">
        <v>479</v>
      </c>
    </row>
    <row r="76" spans="1:2" x14ac:dyDescent="0.5">
      <c r="A76" t="s">
        <v>45</v>
      </c>
    </row>
    <row r="77" spans="1:2" x14ac:dyDescent="0.5">
      <c r="A77" s="1" t="s">
        <v>4</v>
      </c>
      <c r="B77" t="s">
        <v>43</v>
      </c>
    </row>
    <row r="78" spans="1:2" x14ac:dyDescent="0.5">
      <c r="A78" s="4" t="s">
        <v>10</v>
      </c>
      <c r="B78" s="2">
        <v>235</v>
      </c>
    </row>
    <row r="79" spans="1:2" x14ac:dyDescent="0.5">
      <c r="A79" s="4" t="s">
        <v>15</v>
      </c>
      <c r="B79" s="2">
        <v>244</v>
      </c>
    </row>
    <row r="80" spans="1:2" x14ac:dyDescent="0.5">
      <c r="A80" s="4" t="s">
        <v>5</v>
      </c>
      <c r="B80" s="18">
        <v>479</v>
      </c>
    </row>
    <row r="85" spans="1:2" x14ac:dyDescent="0.5">
      <c r="A85" s="1" t="s">
        <v>4</v>
      </c>
      <c r="B85" t="s">
        <v>46</v>
      </c>
    </row>
    <row r="86" spans="1:2" x14ac:dyDescent="0.5">
      <c r="A86" s="4" t="s">
        <v>34</v>
      </c>
      <c r="B86" s="18">
        <v>4</v>
      </c>
    </row>
    <row r="87" spans="1:2" x14ac:dyDescent="0.5">
      <c r="A87" s="4" t="s">
        <v>25</v>
      </c>
      <c r="B87" s="18">
        <v>11</v>
      </c>
    </row>
    <row r="88" spans="1:2" x14ac:dyDescent="0.5">
      <c r="A88" s="4" t="s">
        <v>31</v>
      </c>
      <c r="B88" s="18">
        <v>11</v>
      </c>
    </row>
    <row r="89" spans="1:2" x14ac:dyDescent="0.5">
      <c r="A89" s="4" t="s">
        <v>33</v>
      </c>
      <c r="B89" s="18">
        <v>12</v>
      </c>
    </row>
    <row r="90" spans="1:2" x14ac:dyDescent="0.5">
      <c r="A90" s="4" t="s">
        <v>32</v>
      </c>
      <c r="B90" s="18">
        <v>18</v>
      </c>
    </row>
    <row r="91" spans="1:2" x14ac:dyDescent="0.5">
      <c r="A91" s="4" t="s">
        <v>24</v>
      </c>
      <c r="B91" s="18">
        <v>45</v>
      </c>
    </row>
    <row r="92" spans="1:2" x14ac:dyDescent="0.5">
      <c r="A92" s="4" t="s">
        <v>20</v>
      </c>
      <c r="B92" s="18">
        <v>115</v>
      </c>
    </row>
    <row r="93" spans="1:2" x14ac:dyDescent="0.5">
      <c r="A93" s="4" t="s">
        <v>11</v>
      </c>
      <c r="B93" s="18">
        <v>263</v>
      </c>
    </row>
    <row r="94" spans="1:2" x14ac:dyDescent="0.5">
      <c r="A94" s="4" t="s">
        <v>5</v>
      </c>
      <c r="B94" s="18">
        <v>479</v>
      </c>
    </row>
    <row r="99" spans="1:1" x14ac:dyDescent="0.5">
      <c r="A99" s="1" t="s">
        <v>4</v>
      </c>
    </row>
    <row r="100" spans="1:1" x14ac:dyDescent="0.5">
      <c r="A100" s="4" t="s">
        <v>77</v>
      </c>
    </row>
    <row r="101" spans="1:1" x14ac:dyDescent="0.5">
      <c r="A101"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0193F-1905-48A1-A6A3-63C354BC40FA}">
  <dimension ref="A1:M23"/>
  <sheetViews>
    <sheetView tabSelected="1" zoomScale="140" zoomScaleNormal="140" workbookViewId="0">
      <selection activeCell="B20" sqref="B20"/>
    </sheetView>
  </sheetViews>
  <sheetFormatPr defaultRowHeight="14.35" x14ac:dyDescent="0.5"/>
  <cols>
    <col min="2" max="6" width="8.9375" customWidth="1"/>
    <col min="7" max="7" width="9.5859375" customWidth="1"/>
  </cols>
  <sheetData>
    <row r="1" spans="1:13" x14ac:dyDescent="0.5">
      <c r="A1" s="3"/>
      <c r="B1" s="3"/>
      <c r="C1" s="3"/>
      <c r="D1" s="3"/>
      <c r="E1" s="3"/>
      <c r="F1" s="3"/>
      <c r="G1" s="3"/>
      <c r="H1" s="3"/>
      <c r="I1" s="3"/>
      <c r="J1" s="3"/>
      <c r="K1" s="3"/>
      <c r="L1" s="3"/>
      <c r="M1" s="3"/>
    </row>
    <row r="2" spans="1:13" x14ac:dyDescent="0.5">
      <c r="A2" s="3"/>
      <c r="B2" s="3"/>
      <c r="C2" s="3"/>
      <c r="D2" s="3"/>
      <c r="E2" s="3"/>
      <c r="F2" s="3"/>
      <c r="G2" s="3"/>
      <c r="H2" s="3"/>
      <c r="I2" s="3"/>
      <c r="J2" s="3"/>
      <c r="K2" s="3"/>
      <c r="L2" s="3"/>
      <c r="M2" s="3"/>
    </row>
    <row r="3" spans="1:13" x14ac:dyDescent="0.5">
      <c r="A3" s="3"/>
      <c r="B3" s="3"/>
      <c r="C3" s="3"/>
      <c r="D3" s="3"/>
      <c r="E3" s="3"/>
      <c r="F3" s="3"/>
      <c r="G3" s="3"/>
      <c r="H3" s="3"/>
      <c r="I3" s="3"/>
      <c r="J3" s="3"/>
      <c r="K3" s="3"/>
      <c r="L3" s="3"/>
      <c r="M3" s="3"/>
    </row>
    <row r="4" spans="1:13" x14ac:dyDescent="0.5">
      <c r="A4" s="3"/>
      <c r="B4" s="3"/>
      <c r="C4" s="3"/>
      <c r="D4" s="3"/>
      <c r="E4" s="3"/>
      <c r="F4" s="3"/>
      <c r="G4" s="3"/>
      <c r="H4" s="3"/>
      <c r="I4" s="3"/>
      <c r="J4" s="3"/>
      <c r="K4" s="3"/>
      <c r="L4" s="3"/>
      <c r="M4" s="3"/>
    </row>
    <row r="5" spans="1:13" x14ac:dyDescent="0.5">
      <c r="A5" s="3"/>
      <c r="B5" s="3"/>
      <c r="C5" s="3"/>
      <c r="D5" s="3"/>
      <c r="E5" s="3"/>
      <c r="F5" s="3"/>
      <c r="G5" s="3"/>
      <c r="H5" s="3"/>
      <c r="I5" s="3"/>
      <c r="J5" s="3"/>
      <c r="K5" s="3"/>
      <c r="L5" s="3"/>
      <c r="M5" s="3"/>
    </row>
    <row r="6" spans="1:13" x14ac:dyDescent="0.5">
      <c r="A6" s="3"/>
      <c r="B6" s="3"/>
      <c r="C6" s="3"/>
      <c r="D6" s="3"/>
      <c r="E6" s="3"/>
      <c r="F6" s="3"/>
      <c r="G6" s="3"/>
      <c r="H6" s="3"/>
      <c r="I6" s="3"/>
      <c r="J6" s="3"/>
      <c r="K6" s="3"/>
      <c r="L6" s="3"/>
      <c r="M6" s="3"/>
    </row>
    <row r="7" spans="1:13" x14ac:dyDescent="0.5">
      <c r="A7" s="3"/>
      <c r="B7" s="3"/>
      <c r="C7" s="3"/>
      <c r="D7" s="3"/>
      <c r="E7" s="3"/>
      <c r="F7" s="3"/>
      <c r="G7" s="3"/>
      <c r="H7" s="3"/>
      <c r="I7" s="3"/>
      <c r="J7" s="3"/>
      <c r="K7" s="3"/>
      <c r="L7" s="3"/>
      <c r="M7" s="3"/>
    </row>
    <row r="8" spans="1:13" x14ac:dyDescent="0.5">
      <c r="A8" s="3"/>
      <c r="B8" s="3"/>
      <c r="C8" s="3"/>
      <c r="D8" s="3"/>
      <c r="E8" s="3"/>
      <c r="F8" s="3"/>
      <c r="G8" s="3"/>
      <c r="H8" s="3"/>
      <c r="I8" s="3"/>
      <c r="J8" s="3"/>
      <c r="K8" s="3"/>
      <c r="L8" s="3"/>
      <c r="M8" s="3"/>
    </row>
    <row r="9" spans="1:13" x14ac:dyDescent="0.5">
      <c r="A9" s="3"/>
      <c r="B9" s="3"/>
      <c r="C9" s="3"/>
      <c r="D9" s="3"/>
      <c r="E9" s="3"/>
      <c r="F9" s="3"/>
      <c r="G9" s="3"/>
      <c r="H9" s="3"/>
      <c r="I9" s="3"/>
      <c r="J9" s="3"/>
      <c r="K9" s="3"/>
      <c r="L9" s="3"/>
      <c r="M9" s="3"/>
    </row>
    <row r="10" spans="1:13" x14ac:dyDescent="0.5">
      <c r="A10" s="3"/>
      <c r="B10" s="3"/>
      <c r="C10" s="3"/>
      <c r="D10" s="3"/>
      <c r="E10" s="3"/>
      <c r="F10" s="3"/>
      <c r="G10" s="3"/>
      <c r="H10" s="3"/>
      <c r="I10" s="3"/>
      <c r="J10" s="3"/>
      <c r="K10" s="3"/>
      <c r="L10" s="3"/>
      <c r="M10" s="3"/>
    </row>
    <row r="11" spans="1:13" x14ac:dyDescent="0.5">
      <c r="A11" s="3"/>
      <c r="B11" s="3"/>
      <c r="C11" s="3"/>
      <c r="D11" s="3"/>
      <c r="E11" s="3"/>
      <c r="F11" s="3"/>
      <c r="G11" s="3"/>
      <c r="H11" s="3"/>
      <c r="I11" s="3"/>
      <c r="J11" s="3"/>
      <c r="K11" s="3"/>
      <c r="L11" s="3"/>
      <c r="M11" s="3"/>
    </row>
    <row r="12" spans="1:13" x14ac:dyDescent="0.5">
      <c r="A12" s="3"/>
      <c r="B12" s="3"/>
      <c r="C12" s="3"/>
      <c r="D12" s="3"/>
      <c r="E12" s="3"/>
      <c r="F12" s="3"/>
      <c r="G12" s="3"/>
      <c r="H12" s="3"/>
      <c r="I12" s="3"/>
      <c r="J12" s="3"/>
      <c r="K12" s="3"/>
      <c r="L12" s="3"/>
      <c r="M12" s="3"/>
    </row>
    <row r="13" spans="1:13" x14ac:dyDescent="0.5">
      <c r="A13" s="3"/>
      <c r="B13" s="3"/>
      <c r="C13" s="3"/>
      <c r="D13" s="3"/>
      <c r="E13" s="3"/>
      <c r="F13" s="3"/>
      <c r="G13" s="3"/>
      <c r="H13" s="3"/>
      <c r="I13" s="3"/>
      <c r="J13" s="3"/>
      <c r="K13" s="3"/>
      <c r="L13" s="3"/>
      <c r="M13" s="3"/>
    </row>
    <row r="14" spans="1:13" x14ac:dyDescent="0.5">
      <c r="A14" s="3"/>
      <c r="B14" s="3"/>
      <c r="C14" s="3"/>
      <c r="D14" s="3"/>
      <c r="E14" s="3"/>
      <c r="F14" s="3"/>
      <c r="G14" s="3"/>
      <c r="H14" s="3"/>
      <c r="I14" s="3"/>
      <c r="J14" s="3"/>
      <c r="K14" s="3"/>
      <c r="L14" s="3"/>
      <c r="M14" s="3"/>
    </row>
    <row r="15" spans="1:13" x14ac:dyDescent="0.5">
      <c r="A15" s="3"/>
      <c r="B15" s="3"/>
      <c r="C15" s="3"/>
      <c r="D15" s="3"/>
      <c r="E15" s="3"/>
      <c r="F15" s="3"/>
      <c r="G15" s="3"/>
      <c r="H15" s="3"/>
      <c r="I15" s="3"/>
      <c r="J15" s="3"/>
      <c r="K15" s="3"/>
      <c r="L15" s="3"/>
      <c r="M15" s="3"/>
    </row>
    <row r="16" spans="1:13" x14ac:dyDescent="0.5">
      <c r="A16" s="3"/>
      <c r="B16" s="3"/>
      <c r="C16" s="3"/>
      <c r="D16" s="3"/>
      <c r="E16" s="3"/>
      <c r="F16" s="3"/>
      <c r="G16" s="3"/>
      <c r="H16" s="3"/>
      <c r="I16" s="3"/>
      <c r="J16" s="3"/>
      <c r="K16" s="3"/>
      <c r="L16" s="3"/>
      <c r="M16" s="3"/>
    </row>
    <row r="17" spans="1:13" x14ac:dyDescent="0.5">
      <c r="A17" s="3"/>
      <c r="B17" s="3"/>
      <c r="C17" s="3"/>
      <c r="D17" s="3"/>
      <c r="E17" s="3"/>
      <c r="F17" s="3"/>
      <c r="G17" s="3"/>
      <c r="H17" s="3"/>
      <c r="I17" s="3"/>
      <c r="J17" s="3"/>
      <c r="K17" s="3"/>
      <c r="L17" s="3"/>
      <c r="M17" s="3"/>
    </row>
    <row r="18" spans="1:13" x14ac:dyDescent="0.5">
      <c r="A18" s="3"/>
      <c r="B18" s="3"/>
      <c r="C18" s="3"/>
      <c r="D18" s="3"/>
      <c r="E18" s="3"/>
      <c r="F18" s="3"/>
      <c r="G18" s="3"/>
      <c r="H18" s="3"/>
      <c r="I18" s="3"/>
      <c r="J18" s="3"/>
      <c r="K18" s="3"/>
      <c r="L18" s="3"/>
      <c r="M18" s="3"/>
    </row>
    <row r="23" spans="1:13" x14ac:dyDescent="0.5">
      <c r="B23" t="s">
        <v>7</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0F4C1-1055-44EB-A6FC-FE5D03C8E8C0}">
  <dimension ref="A1:O20"/>
  <sheetViews>
    <sheetView zoomScale="140" zoomScaleNormal="140" workbookViewId="0"/>
  </sheetViews>
  <sheetFormatPr defaultRowHeight="14.35" x14ac:dyDescent="0.5"/>
  <sheetData>
    <row r="1" spans="14:15" x14ac:dyDescent="0.5">
      <c r="N1" s="7"/>
      <c r="O1" s="7"/>
    </row>
    <row r="2" spans="14:15" x14ac:dyDescent="0.5">
      <c r="N2" s="7"/>
      <c r="O2" s="7"/>
    </row>
    <row r="3" spans="14:15" x14ac:dyDescent="0.5">
      <c r="N3" s="7"/>
      <c r="O3" s="7"/>
    </row>
    <row r="4" spans="14:15" x14ac:dyDescent="0.5">
      <c r="N4" s="7"/>
      <c r="O4" s="7"/>
    </row>
    <row r="5" spans="14:15" x14ac:dyDescent="0.5">
      <c r="N5" s="7"/>
      <c r="O5" s="7"/>
    </row>
    <row r="6" spans="14:15" x14ac:dyDescent="0.5">
      <c r="N6" s="7"/>
      <c r="O6" s="7"/>
    </row>
    <row r="7" spans="14:15" x14ac:dyDescent="0.5">
      <c r="N7" s="7"/>
      <c r="O7" s="7"/>
    </row>
    <row r="8" spans="14:15" x14ac:dyDescent="0.5">
      <c r="N8" s="7"/>
      <c r="O8" s="7"/>
    </row>
    <row r="9" spans="14:15" x14ac:dyDescent="0.5">
      <c r="N9" s="7"/>
      <c r="O9" s="7"/>
    </row>
    <row r="10" spans="14:15" x14ac:dyDescent="0.5">
      <c r="N10" s="7"/>
      <c r="O10" s="7"/>
    </row>
    <row r="11" spans="14:15" x14ac:dyDescent="0.5">
      <c r="N11" s="7"/>
      <c r="O11" s="7"/>
    </row>
    <row r="12" spans="14:15" x14ac:dyDescent="0.5">
      <c r="N12" s="7"/>
      <c r="O12" s="7"/>
    </row>
    <row r="13" spans="14:15" x14ac:dyDescent="0.5">
      <c r="N13" s="7"/>
      <c r="O13" s="7"/>
    </row>
    <row r="14" spans="14:15" x14ac:dyDescent="0.5">
      <c r="N14" s="7"/>
      <c r="O14" s="7"/>
    </row>
    <row r="15" spans="14:15" x14ac:dyDescent="0.5">
      <c r="N15" s="7"/>
      <c r="O15" s="7"/>
    </row>
    <row r="16" spans="14:15" x14ac:dyDescent="0.5">
      <c r="N16" s="7"/>
      <c r="O16" s="7"/>
    </row>
    <row r="17" spans="1:15" x14ac:dyDescent="0.5">
      <c r="N17" s="7"/>
      <c r="O17" s="7"/>
    </row>
    <row r="18" spans="1:15" x14ac:dyDescent="0.5">
      <c r="A18" s="5"/>
      <c r="B18" s="6"/>
      <c r="C18" s="6"/>
      <c r="D18" s="6"/>
      <c r="E18" s="6"/>
      <c r="F18" s="6"/>
      <c r="G18" s="6"/>
      <c r="H18" s="6"/>
      <c r="I18" s="6"/>
      <c r="J18" s="7"/>
      <c r="K18" s="7"/>
      <c r="L18" s="7"/>
      <c r="M18" s="7"/>
      <c r="N18" s="7"/>
      <c r="O18" s="7"/>
    </row>
    <row r="19" spans="1:15" x14ac:dyDescent="0.5">
      <c r="A19" s="7"/>
      <c r="B19" s="7"/>
      <c r="C19" s="7"/>
      <c r="D19" s="7"/>
      <c r="E19" s="7"/>
      <c r="F19" s="7"/>
      <c r="G19" s="7"/>
      <c r="H19" s="7"/>
      <c r="I19" s="7"/>
      <c r="J19" s="7"/>
      <c r="K19" s="7"/>
      <c r="L19" s="7"/>
      <c r="M19" s="7"/>
      <c r="N19" s="7"/>
      <c r="O19" s="7"/>
    </row>
    <row r="20" spans="1:15" x14ac:dyDescent="0.5">
      <c r="A20" s="7"/>
      <c r="B20" s="7"/>
      <c r="C20" s="7"/>
      <c r="D20" s="7"/>
      <c r="E20" s="7"/>
      <c r="F20" s="7"/>
      <c r="G20" s="7"/>
      <c r="H20" s="7"/>
      <c r="I20" s="7"/>
      <c r="J20" s="7"/>
      <c r="K20" s="7"/>
      <c r="L20" s="7"/>
      <c r="M20" s="7"/>
      <c r="N20" s="7"/>
      <c r="O20"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9DF21-33D9-4F57-8283-4478559C1B2F}">
  <dimension ref="A1:R25"/>
  <sheetViews>
    <sheetView workbookViewId="0"/>
  </sheetViews>
  <sheetFormatPr defaultRowHeight="14.35" x14ac:dyDescent="0.5"/>
  <sheetData>
    <row r="1" spans="1:18" x14ac:dyDescent="0.5">
      <c r="A1" s="7"/>
      <c r="B1" s="7"/>
      <c r="C1" s="7"/>
      <c r="D1" s="7"/>
      <c r="E1" s="7"/>
      <c r="F1" s="7"/>
      <c r="G1" s="7"/>
      <c r="H1" s="7"/>
      <c r="I1" s="7"/>
      <c r="J1" s="7"/>
      <c r="K1" s="7"/>
      <c r="L1" s="7"/>
      <c r="M1" s="7"/>
      <c r="N1" s="7"/>
      <c r="O1" s="7"/>
      <c r="P1" s="7"/>
      <c r="Q1" s="7"/>
      <c r="R1" s="7"/>
    </row>
    <row r="2" spans="1:18" x14ac:dyDescent="0.5">
      <c r="A2" s="7"/>
      <c r="B2" s="7"/>
      <c r="C2" s="7"/>
      <c r="D2" s="7"/>
      <c r="E2" s="7"/>
      <c r="F2" s="7"/>
      <c r="G2" s="7"/>
      <c r="H2" s="7"/>
      <c r="I2" s="7"/>
      <c r="J2" s="7"/>
      <c r="K2" s="7"/>
      <c r="L2" s="7"/>
      <c r="M2" s="7"/>
      <c r="N2" s="7"/>
      <c r="O2" s="7"/>
      <c r="P2" s="7"/>
      <c r="Q2" s="7"/>
      <c r="R2" s="7"/>
    </row>
    <row r="3" spans="1:18" x14ac:dyDescent="0.5">
      <c r="A3" s="7"/>
      <c r="B3" s="7"/>
      <c r="C3" s="7"/>
      <c r="D3" s="7"/>
      <c r="E3" s="7"/>
      <c r="F3" s="7"/>
      <c r="G3" s="7"/>
      <c r="H3" s="7"/>
      <c r="I3" s="7"/>
      <c r="J3" s="7"/>
      <c r="K3" s="7"/>
      <c r="L3" s="7"/>
      <c r="M3" s="7"/>
      <c r="N3" s="7"/>
      <c r="O3" s="7"/>
      <c r="P3" s="7"/>
      <c r="Q3" s="7"/>
      <c r="R3" s="7"/>
    </row>
    <row r="4" spans="1:18" x14ac:dyDescent="0.5">
      <c r="A4" s="7"/>
      <c r="B4" s="7"/>
      <c r="C4" s="7"/>
      <c r="D4" s="7"/>
      <c r="E4" s="7"/>
      <c r="F4" s="7"/>
      <c r="G4" s="7"/>
      <c r="H4" s="7"/>
      <c r="I4" s="7"/>
      <c r="J4" s="7"/>
      <c r="K4" s="7"/>
      <c r="L4" s="7"/>
      <c r="M4" s="7"/>
      <c r="N4" s="7"/>
      <c r="O4" s="7"/>
      <c r="P4" s="7"/>
      <c r="Q4" s="7"/>
      <c r="R4" s="7"/>
    </row>
    <row r="5" spans="1:18" x14ac:dyDescent="0.5">
      <c r="A5" s="7"/>
      <c r="B5" s="7"/>
      <c r="C5" s="7"/>
      <c r="D5" s="7"/>
      <c r="E5" s="7"/>
      <c r="F5" s="7"/>
      <c r="G5" s="7"/>
      <c r="H5" s="7"/>
      <c r="I5" s="7"/>
      <c r="J5" s="7"/>
      <c r="K5" s="7"/>
      <c r="L5" s="7"/>
      <c r="M5" s="7"/>
      <c r="N5" s="7"/>
      <c r="O5" s="7"/>
      <c r="P5" s="7"/>
      <c r="Q5" s="7"/>
      <c r="R5" s="7"/>
    </row>
    <row r="6" spans="1:18" x14ac:dyDescent="0.5">
      <c r="A6" s="7"/>
      <c r="B6" s="7"/>
      <c r="C6" s="7"/>
      <c r="D6" s="7"/>
      <c r="E6" s="7"/>
      <c r="F6" s="7"/>
      <c r="G6" s="7"/>
      <c r="H6" s="7"/>
      <c r="I6" s="7"/>
      <c r="J6" s="7"/>
      <c r="K6" s="7"/>
      <c r="L6" s="7"/>
      <c r="M6" s="7"/>
      <c r="N6" s="7"/>
      <c r="O6" s="7"/>
      <c r="P6" s="7"/>
      <c r="Q6" s="7"/>
      <c r="R6" s="7"/>
    </row>
    <row r="7" spans="1:18" x14ac:dyDescent="0.5">
      <c r="A7" s="7"/>
      <c r="B7" s="7"/>
      <c r="C7" s="7"/>
      <c r="D7" s="7"/>
      <c r="E7" s="7"/>
      <c r="F7" s="7"/>
      <c r="G7" s="7"/>
      <c r="H7" s="7"/>
      <c r="I7" s="7"/>
      <c r="J7" s="7"/>
      <c r="K7" s="7"/>
      <c r="L7" s="7"/>
      <c r="M7" s="7"/>
      <c r="N7" s="7"/>
      <c r="O7" s="7"/>
      <c r="P7" s="7"/>
      <c r="Q7" s="7"/>
      <c r="R7" s="7"/>
    </row>
    <row r="8" spans="1:18" x14ac:dyDescent="0.5">
      <c r="A8" s="7"/>
      <c r="B8" s="7"/>
      <c r="C8" s="7"/>
      <c r="D8" s="7"/>
      <c r="E8" s="7"/>
      <c r="F8" s="7"/>
      <c r="G8" s="7"/>
      <c r="H8" s="7"/>
      <c r="I8" s="7"/>
      <c r="J8" s="7"/>
      <c r="K8" s="7"/>
      <c r="L8" s="7"/>
      <c r="M8" s="7"/>
      <c r="N8" s="7"/>
      <c r="O8" s="7"/>
      <c r="P8" s="7"/>
      <c r="Q8" s="7"/>
      <c r="R8" s="7"/>
    </row>
    <row r="9" spans="1:18" x14ac:dyDescent="0.5">
      <c r="A9" s="7"/>
      <c r="B9" s="7"/>
      <c r="C9" s="7"/>
      <c r="D9" s="7"/>
      <c r="E9" s="7"/>
      <c r="F9" s="7"/>
      <c r="G9" s="7"/>
      <c r="H9" s="7"/>
      <c r="I9" s="7"/>
      <c r="J9" s="7"/>
      <c r="K9" s="7"/>
      <c r="L9" s="7"/>
      <c r="M9" s="7"/>
      <c r="N9" s="7"/>
      <c r="O9" s="7"/>
      <c r="P9" s="7"/>
      <c r="Q9" s="7"/>
      <c r="R9" s="7"/>
    </row>
    <row r="10" spans="1:18" x14ac:dyDescent="0.5">
      <c r="A10" s="7"/>
      <c r="B10" s="7"/>
      <c r="C10" s="7"/>
      <c r="D10" s="7"/>
      <c r="E10" s="7"/>
      <c r="F10" s="7"/>
      <c r="G10" s="7"/>
      <c r="H10" s="7"/>
      <c r="I10" s="7"/>
      <c r="J10" s="7"/>
      <c r="K10" s="7"/>
      <c r="L10" s="7"/>
      <c r="M10" s="7"/>
      <c r="N10" s="7"/>
      <c r="O10" s="7"/>
      <c r="P10" s="7"/>
      <c r="Q10" s="7"/>
      <c r="R10" s="7"/>
    </row>
    <row r="11" spans="1:18" x14ac:dyDescent="0.5">
      <c r="A11" s="7"/>
      <c r="B11" s="7"/>
      <c r="C11" s="7"/>
      <c r="D11" s="7"/>
      <c r="E11" s="7"/>
      <c r="F11" s="7"/>
      <c r="G11" s="7"/>
      <c r="H11" s="7"/>
      <c r="I11" s="7"/>
      <c r="J11" s="7"/>
      <c r="K11" s="7"/>
      <c r="L11" s="7"/>
      <c r="M11" s="7"/>
      <c r="N11" s="7"/>
      <c r="O11" s="7"/>
      <c r="P11" s="7"/>
      <c r="Q11" s="7"/>
      <c r="R11" s="7"/>
    </row>
    <row r="12" spans="1:18" x14ac:dyDescent="0.5">
      <c r="A12" s="7"/>
      <c r="B12" s="7"/>
      <c r="C12" s="7"/>
      <c r="D12" s="7"/>
      <c r="E12" s="7"/>
      <c r="F12" s="7"/>
      <c r="G12" s="7"/>
      <c r="H12" s="7"/>
      <c r="I12" s="7"/>
      <c r="J12" s="7"/>
      <c r="K12" s="7"/>
      <c r="L12" s="7"/>
      <c r="M12" s="7"/>
      <c r="N12" s="7"/>
      <c r="O12" s="7"/>
      <c r="P12" s="7"/>
      <c r="Q12" s="7"/>
      <c r="R12" s="7"/>
    </row>
    <row r="13" spans="1:18" x14ac:dyDescent="0.5">
      <c r="A13" s="7"/>
      <c r="B13" s="7"/>
      <c r="C13" s="7"/>
      <c r="D13" s="7"/>
      <c r="E13" s="7"/>
      <c r="F13" s="7"/>
      <c r="G13" s="7"/>
      <c r="H13" s="7"/>
      <c r="I13" s="7"/>
      <c r="J13" s="7"/>
      <c r="K13" s="7"/>
      <c r="L13" s="7"/>
      <c r="M13" s="7"/>
      <c r="N13" s="7"/>
      <c r="O13" s="7"/>
      <c r="P13" s="7"/>
      <c r="Q13" s="7"/>
      <c r="R13" s="7"/>
    </row>
    <row r="14" spans="1:18" x14ac:dyDescent="0.5">
      <c r="A14" s="7"/>
      <c r="B14" s="7"/>
      <c r="C14" s="7"/>
      <c r="D14" s="7"/>
      <c r="E14" s="7"/>
      <c r="F14" s="7"/>
      <c r="G14" s="7"/>
      <c r="H14" s="7"/>
      <c r="I14" s="7"/>
      <c r="J14" s="7"/>
      <c r="K14" s="7"/>
      <c r="L14" s="7"/>
      <c r="M14" s="7"/>
      <c r="N14" s="7"/>
      <c r="O14" s="7"/>
      <c r="P14" s="7"/>
      <c r="Q14" s="7"/>
      <c r="R14" s="7"/>
    </row>
    <row r="15" spans="1:18" x14ac:dyDescent="0.5">
      <c r="A15" s="7"/>
      <c r="B15" s="7"/>
      <c r="C15" s="7"/>
      <c r="D15" s="7"/>
      <c r="E15" s="7"/>
      <c r="F15" s="7"/>
      <c r="G15" s="7"/>
      <c r="H15" s="7"/>
      <c r="I15" s="7"/>
      <c r="J15" s="7"/>
      <c r="K15" s="7"/>
      <c r="L15" s="7"/>
      <c r="M15" s="7"/>
      <c r="N15" s="7"/>
      <c r="O15" s="7"/>
      <c r="P15" s="7"/>
      <c r="Q15" s="7"/>
      <c r="R15" s="7"/>
    </row>
    <row r="16" spans="1:18" x14ac:dyDescent="0.5">
      <c r="A16" s="7"/>
      <c r="B16" s="7"/>
      <c r="C16" s="7"/>
      <c r="D16" s="7"/>
      <c r="E16" s="7"/>
      <c r="F16" s="7"/>
      <c r="G16" s="7"/>
      <c r="H16" s="7"/>
      <c r="I16" s="7"/>
      <c r="J16" s="7"/>
      <c r="K16" s="7"/>
      <c r="L16" s="7"/>
      <c r="M16" s="7"/>
      <c r="N16" s="7"/>
      <c r="O16" s="7"/>
      <c r="P16" s="7"/>
      <c r="Q16" s="7"/>
      <c r="R16" s="7"/>
    </row>
    <row r="17" spans="1:18" x14ac:dyDescent="0.5">
      <c r="A17" s="7"/>
      <c r="B17" s="7"/>
      <c r="C17" s="7"/>
      <c r="D17" s="7"/>
      <c r="E17" s="7"/>
      <c r="F17" s="7"/>
      <c r="G17" s="7"/>
      <c r="H17" s="7"/>
      <c r="I17" s="7"/>
      <c r="J17" s="7"/>
      <c r="K17" s="7"/>
      <c r="L17" s="7"/>
      <c r="M17" s="7"/>
      <c r="N17" s="7"/>
      <c r="O17" s="7"/>
      <c r="P17" s="7"/>
      <c r="Q17" s="7"/>
      <c r="R17" s="7"/>
    </row>
    <row r="18" spans="1:18" x14ac:dyDescent="0.5">
      <c r="A18" s="7"/>
      <c r="B18" s="7"/>
      <c r="C18" s="7"/>
      <c r="D18" s="7"/>
      <c r="E18" s="7"/>
      <c r="F18" s="7"/>
      <c r="G18" s="7"/>
      <c r="H18" s="7"/>
      <c r="I18" s="7"/>
      <c r="J18" s="7"/>
      <c r="K18" s="7"/>
      <c r="L18" s="7"/>
      <c r="M18" s="7"/>
      <c r="N18" s="7"/>
      <c r="O18" s="7"/>
      <c r="P18" s="7"/>
      <c r="Q18" s="7"/>
      <c r="R18" s="7"/>
    </row>
    <row r="19" spans="1:18" x14ac:dyDescent="0.5">
      <c r="A19" s="7"/>
      <c r="B19" s="7"/>
      <c r="C19" s="7"/>
      <c r="D19" s="7"/>
      <c r="E19" s="7"/>
      <c r="F19" s="7"/>
      <c r="G19" s="7"/>
      <c r="H19" s="7"/>
      <c r="I19" s="7"/>
      <c r="J19" s="7"/>
      <c r="K19" s="7"/>
      <c r="L19" s="7"/>
      <c r="M19" s="7"/>
      <c r="N19" s="7"/>
      <c r="O19" s="7"/>
      <c r="P19" s="7"/>
      <c r="Q19" s="7"/>
      <c r="R19" s="7"/>
    </row>
    <row r="20" spans="1:18" x14ac:dyDescent="0.5">
      <c r="A20" s="7"/>
      <c r="B20" s="7"/>
      <c r="C20" s="7"/>
      <c r="D20" s="7"/>
      <c r="E20" s="7"/>
      <c r="F20" s="7"/>
      <c r="G20" s="7"/>
      <c r="H20" s="7"/>
      <c r="I20" s="7"/>
      <c r="J20" s="7"/>
      <c r="K20" s="7"/>
      <c r="L20" s="7"/>
      <c r="M20" s="7"/>
      <c r="N20" s="7"/>
      <c r="O20" s="7"/>
      <c r="P20" s="7"/>
      <c r="Q20" s="7"/>
      <c r="R20" s="7"/>
    </row>
    <row r="21" spans="1:18" x14ac:dyDescent="0.5">
      <c r="A21" s="7"/>
      <c r="B21" s="7"/>
      <c r="C21" s="7"/>
      <c r="D21" s="7"/>
      <c r="E21" s="7"/>
      <c r="F21" s="7"/>
      <c r="G21" s="7"/>
      <c r="H21" s="7"/>
      <c r="I21" s="7"/>
      <c r="J21" s="7"/>
      <c r="K21" s="7"/>
      <c r="L21" s="7"/>
      <c r="M21" s="7"/>
      <c r="N21" s="7"/>
      <c r="O21" s="7"/>
      <c r="P21" s="7"/>
      <c r="Q21" s="7"/>
      <c r="R21" s="7"/>
    </row>
    <row r="22" spans="1:18" x14ac:dyDescent="0.5">
      <c r="A22" s="7"/>
      <c r="B22" s="7"/>
      <c r="C22" s="7"/>
      <c r="D22" s="7"/>
      <c r="E22" s="7"/>
      <c r="F22" s="7"/>
      <c r="G22" s="7"/>
      <c r="H22" s="7"/>
      <c r="I22" s="7"/>
      <c r="J22" s="7"/>
      <c r="K22" s="7"/>
      <c r="L22" s="7"/>
      <c r="M22" s="7"/>
      <c r="N22" s="7"/>
      <c r="O22" s="7"/>
      <c r="P22" s="7"/>
      <c r="Q22" s="7"/>
      <c r="R22" s="7"/>
    </row>
    <row r="23" spans="1:18" x14ac:dyDescent="0.5">
      <c r="A23" s="7"/>
      <c r="B23" s="7"/>
      <c r="C23" s="7"/>
      <c r="D23" s="7"/>
      <c r="E23" s="7"/>
      <c r="F23" s="7"/>
      <c r="G23" s="7"/>
      <c r="H23" s="7"/>
      <c r="I23" s="7"/>
      <c r="J23" s="7"/>
      <c r="K23" s="7"/>
      <c r="L23" s="7"/>
      <c r="M23" s="7"/>
      <c r="N23" s="7"/>
      <c r="O23" s="7"/>
      <c r="P23" s="7"/>
      <c r="Q23" s="7"/>
      <c r="R23" s="7"/>
    </row>
    <row r="24" spans="1:18" x14ac:dyDescent="0.5">
      <c r="A24" s="7"/>
      <c r="B24" s="7"/>
      <c r="C24" s="7"/>
      <c r="D24" s="7"/>
      <c r="E24" s="7"/>
      <c r="F24" s="7"/>
      <c r="G24" s="7"/>
      <c r="H24" s="7"/>
      <c r="I24" s="7"/>
      <c r="J24" s="7"/>
      <c r="K24" s="7"/>
      <c r="L24" s="7"/>
      <c r="M24" s="7"/>
      <c r="N24" s="7"/>
      <c r="O24" s="7"/>
      <c r="P24" s="7"/>
      <c r="Q24" s="7"/>
      <c r="R24" s="7"/>
    </row>
    <row r="25" spans="1:18" x14ac:dyDescent="0.5">
      <c r="A25" s="7"/>
      <c r="B25" s="7"/>
      <c r="C25" s="7" t="s">
        <v>28</v>
      </c>
      <c r="D25" s="7"/>
      <c r="E25" s="7"/>
      <c r="F25" s="7"/>
      <c r="G25" s="7"/>
      <c r="H25" s="7"/>
      <c r="I25" s="7"/>
      <c r="J25" s="7"/>
      <c r="K25" s="7"/>
      <c r="L25" s="7"/>
      <c r="M25" s="7"/>
      <c r="N25" s="7"/>
      <c r="O25" s="7"/>
      <c r="P25" s="7"/>
      <c r="Q25" s="7"/>
      <c r="R25"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396CF-F7D4-4B8B-9C3D-AE15866D2078}">
  <dimension ref="A1:R26"/>
  <sheetViews>
    <sheetView workbookViewId="0"/>
  </sheetViews>
  <sheetFormatPr defaultRowHeight="14.35" x14ac:dyDescent="0.5"/>
  <sheetData>
    <row r="1" spans="1:18" x14ac:dyDescent="0.5">
      <c r="A1" s="7"/>
      <c r="B1" s="7"/>
      <c r="C1" s="7"/>
      <c r="D1" s="7"/>
      <c r="E1" s="7"/>
      <c r="F1" s="7"/>
      <c r="G1" s="7"/>
      <c r="H1" s="7"/>
      <c r="I1" s="7"/>
      <c r="J1" s="7"/>
      <c r="K1" s="7"/>
      <c r="L1" s="7"/>
      <c r="M1" s="7"/>
      <c r="N1" s="7"/>
      <c r="O1" s="7"/>
      <c r="P1" s="7"/>
      <c r="Q1" s="7"/>
      <c r="R1" s="7"/>
    </row>
    <row r="2" spans="1:18" x14ac:dyDescent="0.5">
      <c r="A2" s="7"/>
      <c r="B2" s="7"/>
      <c r="C2" s="7"/>
      <c r="D2" s="7"/>
      <c r="E2" s="7"/>
      <c r="F2" s="7"/>
      <c r="G2" s="7"/>
      <c r="H2" s="7"/>
      <c r="I2" s="7"/>
      <c r="J2" s="7"/>
      <c r="K2" s="7"/>
      <c r="L2" s="7"/>
      <c r="M2" s="7"/>
      <c r="N2" s="7"/>
      <c r="O2" s="7"/>
      <c r="P2" s="7"/>
      <c r="Q2" s="7"/>
      <c r="R2" s="7"/>
    </row>
    <row r="3" spans="1:18" x14ac:dyDescent="0.5">
      <c r="A3" s="7"/>
      <c r="B3" s="7"/>
      <c r="C3" s="7"/>
      <c r="D3" s="7"/>
      <c r="E3" s="7"/>
      <c r="F3" s="7"/>
      <c r="G3" s="7"/>
      <c r="H3" s="7"/>
      <c r="I3" s="7"/>
      <c r="J3" s="7"/>
      <c r="K3" s="7"/>
      <c r="L3" s="7"/>
      <c r="M3" s="7"/>
      <c r="N3" s="7"/>
      <c r="O3" s="7"/>
      <c r="P3" s="7"/>
      <c r="Q3" s="7"/>
      <c r="R3" s="7"/>
    </row>
    <row r="4" spans="1:18" x14ac:dyDescent="0.5">
      <c r="A4" s="7"/>
      <c r="B4" s="7"/>
      <c r="C4" s="7"/>
      <c r="D4" s="7"/>
      <c r="E4" s="7"/>
      <c r="F4" s="7"/>
      <c r="G4" s="7"/>
      <c r="H4" s="7"/>
      <c r="I4" s="7"/>
      <c r="J4" s="7"/>
      <c r="K4" s="7"/>
      <c r="L4" s="7"/>
      <c r="M4" s="7"/>
      <c r="N4" s="7"/>
      <c r="O4" s="7"/>
      <c r="P4" s="7"/>
      <c r="Q4" s="7"/>
      <c r="R4" s="7"/>
    </row>
    <row r="5" spans="1:18" x14ac:dyDescent="0.5">
      <c r="A5" s="7"/>
      <c r="B5" s="7"/>
      <c r="C5" s="7"/>
      <c r="D5" s="7"/>
      <c r="E5" s="7"/>
      <c r="F5" s="7"/>
      <c r="G5" s="7"/>
      <c r="H5" s="7"/>
      <c r="I5" s="7"/>
      <c r="J5" s="7"/>
      <c r="K5" s="7"/>
      <c r="L5" s="7"/>
      <c r="M5" s="7"/>
      <c r="N5" s="7"/>
      <c r="O5" s="7"/>
      <c r="P5" s="7"/>
      <c r="Q5" s="7"/>
      <c r="R5" s="7"/>
    </row>
    <row r="6" spans="1:18" x14ac:dyDescent="0.5">
      <c r="A6" s="7"/>
      <c r="B6" s="7"/>
      <c r="C6" s="7"/>
      <c r="D6" s="7"/>
      <c r="E6" s="7"/>
      <c r="F6" s="7"/>
      <c r="G6" s="7"/>
      <c r="H6" s="7"/>
      <c r="I6" s="7"/>
      <c r="J6" s="7"/>
      <c r="K6" s="7"/>
      <c r="L6" s="7"/>
      <c r="M6" s="7"/>
      <c r="N6" s="7"/>
      <c r="O6" s="7"/>
      <c r="P6" s="7"/>
      <c r="Q6" s="7"/>
      <c r="R6" s="7"/>
    </row>
    <row r="7" spans="1:18" x14ac:dyDescent="0.5">
      <c r="A7" s="7"/>
      <c r="B7" s="7"/>
      <c r="C7" s="7"/>
      <c r="D7" s="7"/>
      <c r="E7" s="7"/>
      <c r="F7" s="7"/>
      <c r="G7" s="7"/>
      <c r="H7" s="7"/>
      <c r="I7" s="7"/>
      <c r="J7" s="7"/>
      <c r="K7" s="7"/>
      <c r="L7" s="7"/>
      <c r="M7" s="7"/>
      <c r="N7" s="7"/>
      <c r="O7" s="7"/>
      <c r="P7" s="7"/>
      <c r="Q7" s="7"/>
      <c r="R7" s="7"/>
    </row>
    <row r="8" spans="1:18" x14ac:dyDescent="0.5">
      <c r="A8" s="7"/>
      <c r="B8" s="7"/>
      <c r="C8" s="7"/>
      <c r="D8" s="7"/>
      <c r="E8" s="7"/>
      <c r="F8" s="7"/>
      <c r="G8" s="7"/>
      <c r="H8" s="7"/>
      <c r="I8" s="7"/>
      <c r="J8" s="7"/>
      <c r="K8" s="7"/>
      <c r="L8" s="7"/>
      <c r="M8" s="7"/>
      <c r="N8" s="7"/>
      <c r="O8" s="7"/>
      <c r="P8" s="7"/>
      <c r="Q8" s="7"/>
      <c r="R8" s="7"/>
    </row>
    <row r="9" spans="1:18" x14ac:dyDescent="0.5">
      <c r="A9" s="7"/>
      <c r="B9" s="7"/>
      <c r="C9" s="7"/>
      <c r="D9" s="7"/>
      <c r="E9" s="7"/>
      <c r="F9" s="7"/>
      <c r="G9" s="7"/>
      <c r="H9" s="7"/>
      <c r="I9" s="7"/>
      <c r="J9" s="7"/>
      <c r="K9" s="7"/>
      <c r="L9" s="7"/>
      <c r="M9" s="7"/>
      <c r="N9" s="7"/>
      <c r="O9" s="7"/>
      <c r="P9" s="7"/>
      <c r="Q9" s="7"/>
      <c r="R9" s="7"/>
    </row>
    <row r="10" spans="1:18" x14ac:dyDescent="0.5">
      <c r="A10" s="7"/>
      <c r="B10" s="7"/>
      <c r="C10" s="7"/>
      <c r="D10" s="7"/>
      <c r="E10" s="7"/>
      <c r="F10" s="7"/>
      <c r="G10" s="7"/>
      <c r="H10" s="7"/>
      <c r="I10" s="7"/>
      <c r="J10" s="7"/>
      <c r="K10" s="7"/>
      <c r="L10" s="7"/>
      <c r="M10" s="7"/>
      <c r="N10" s="7"/>
      <c r="O10" s="7"/>
      <c r="P10" s="7"/>
      <c r="Q10" s="7"/>
      <c r="R10" s="7"/>
    </row>
    <row r="11" spans="1:18" x14ac:dyDescent="0.5">
      <c r="A11" s="7"/>
      <c r="B11" s="7"/>
      <c r="C11" s="7"/>
      <c r="D11" s="7"/>
      <c r="E11" s="7"/>
      <c r="F11" s="7"/>
      <c r="G11" s="7"/>
      <c r="H11" s="7"/>
      <c r="I11" s="7"/>
      <c r="J11" s="7"/>
      <c r="K11" s="7"/>
      <c r="L11" s="7"/>
      <c r="M11" s="7"/>
      <c r="N11" s="7"/>
      <c r="O11" s="7"/>
      <c r="P11" s="7"/>
      <c r="Q11" s="7"/>
      <c r="R11" s="7"/>
    </row>
    <row r="12" spans="1:18" x14ac:dyDescent="0.5">
      <c r="A12" s="7"/>
      <c r="B12" s="7"/>
      <c r="C12" s="7"/>
      <c r="D12" s="7"/>
      <c r="E12" s="7"/>
      <c r="F12" s="7"/>
      <c r="G12" s="7"/>
      <c r="H12" s="7"/>
      <c r="I12" s="7"/>
      <c r="J12" s="7"/>
      <c r="K12" s="7"/>
      <c r="L12" s="7"/>
      <c r="M12" s="7"/>
      <c r="N12" s="7"/>
      <c r="O12" s="7"/>
      <c r="P12" s="7"/>
      <c r="Q12" s="7"/>
      <c r="R12" s="7"/>
    </row>
    <row r="13" spans="1:18" x14ac:dyDescent="0.5">
      <c r="A13" s="7"/>
      <c r="B13" s="7"/>
      <c r="C13" s="7"/>
      <c r="D13" s="7"/>
      <c r="E13" s="7"/>
      <c r="F13" s="7"/>
      <c r="G13" s="7"/>
      <c r="H13" s="7"/>
      <c r="I13" s="7"/>
      <c r="J13" s="7"/>
      <c r="K13" s="7"/>
      <c r="L13" s="7"/>
      <c r="M13" s="7"/>
      <c r="N13" s="7"/>
      <c r="O13" s="7"/>
      <c r="P13" s="7"/>
      <c r="Q13" s="7"/>
      <c r="R13" s="7"/>
    </row>
    <row r="14" spans="1:18" x14ac:dyDescent="0.5">
      <c r="A14" s="7"/>
      <c r="B14" s="7"/>
      <c r="C14" s="7"/>
      <c r="D14" s="7"/>
      <c r="E14" s="7"/>
      <c r="F14" s="7"/>
      <c r="G14" s="7"/>
      <c r="H14" s="7"/>
      <c r="I14" s="7"/>
      <c r="J14" s="7"/>
      <c r="K14" s="7"/>
      <c r="L14" s="7"/>
      <c r="M14" s="7"/>
      <c r="N14" s="7"/>
      <c r="O14" s="7"/>
      <c r="P14" s="7"/>
      <c r="Q14" s="7"/>
      <c r="R14" s="7"/>
    </row>
    <row r="15" spans="1:18" x14ac:dyDescent="0.5">
      <c r="A15" s="7"/>
      <c r="B15" s="7"/>
      <c r="C15" s="7"/>
      <c r="D15" s="7"/>
      <c r="E15" s="7"/>
      <c r="F15" s="7"/>
      <c r="G15" s="7"/>
      <c r="H15" s="7"/>
      <c r="I15" s="7"/>
      <c r="J15" s="7"/>
      <c r="K15" s="7"/>
      <c r="L15" s="7"/>
      <c r="M15" s="7"/>
      <c r="N15" s="7"/>
      <c r="O15" s="7"/>
      <c r="P15" s="7"/>
      <c r="Q15" s="7"/>
      <c r="R15" s="7"/>
    </row>
    <row r="16" spans="1:18" x14ac:dyDescent="0.5">
      <c r="A16" s="7"/>
      <c r="B16" s="7"/>
      <c r="C16" s="7"/>
      <c r="D16" s="7"/>
      <c r="E16" s="7"/>
      <c r="F16" s="7"/>
      <c r="G16" s="7"/>
      <c r="H16" s="7"/>
      <c r="I16" s="7"/>
      <c r="J16" s="7"/>
      <c r="K16" s="7"/>
      <c r="L16" s="7"/>
      <c r="M16" s="7"/>
      <c r="N16" s="7"/>
      <c r="O16" s="7"/>
      <c r="P16" s="7"/>
      <c r="Q16" s="7"/>
      <c r="R16" s="7"/>
    </row>
    <row r="17" spans="1:18" x14ac:dyDescent="0.5">
      <c r="A17" s="7"/>
      <c r="B17" s="7"/>
      <c r="C17" s="7"/>
      <c r="D17" s="7"/>
      <c r="E17" s="7"/>
      <c r="F17" s="7"/>
      <c r="G17" s="7"/>
      <c r="H17" s="7"/>
      <c r="I17" s="7"/>
      <c r="J17" s="7"/>
      <c r="K17" s="7"/>
      <c r="L17" s="7"/>
      <c r="M17" s="7"/>
      <c r="N17" s="7"/>
      <c r="O17" s="7"/>
      <c r="P17" s="7"/>
      <c r="Q17" s="7"/>
      <c r="R17" s="7"/>
    </row>
    <row r="18" spans="1:18" x14ac:dyDescent="0.5">
      <c r="A18" s="7"/>
      <c r="B18" s="7"/>
      <c r="C18" s="7"/>
      <c r="D18" s="7"/>
      <c r="E18" s="7"/>
      <c r="F18" s="7"/>
      <c r="G18" s="7"/>
      <c r="H18" s="7"/>
      <c r="I18" s="7"/>
      <c r="J18" s="7"/>
      <c r="K18" s="7"/>
      <c r="L18" s="7"/>
      <c r="M18" s="7"/>
      <c r="N18" s="7"/>
      <c r="O18" s="7"/>
      <c r="P18" s="7"/>
      <c r="Q18" s="7"/>
      <c r="R18" s="7"/>
    </row>
    <row r="19" spans="1:18" x14ac:dyDescent="0.5">
      <c r="A19" s="7"/>
      <c r="B19" s="7"/>
      <c r="C19" s="7"/>
      <c r="D19" s="7"/>
      <c r="E19" s="7"/>
      <c r="F19" s="7"/>
      <c r="G19" s="7"/>
      <c r="H19" s="7"/>
      <c r="I19" s="7"/>
      <c r="J19" s="7"/>
      <c r="K19" s="7"/>
      <c r="L19" s="7"/>
      <c r="M19" s="7"/>
      <c r="N19" s="7"/>
      <c r="O19" s="7"/>
      <c r="P19" s="7"/>
      <c r="Q19" s="7"/>
      <c r="R19" s="7"/>
    </row>
    <row r="20" spans="1:18" x14ac:dyDescent="0.5">
      <c r="A20" s="7"/>
      <c r="B20" s="7"/>
      <c r="C20" s="7"/>
      <c r="D20" s="7"/>
      <c r="E20" s="7"/>
      <c r="F20" s="7"/>
      <c r="G20" s="7"/>
      <c r="H20" s="7"/>
      <c r="I20" s="7"/>
      <c r="J20" s="7"/>
      <c r="K20" s="7"/>
      <c r="L20" s="7"/>
      <c r="M20" s="7"/>
      <c r="N20" s="7"/>
      <c r="O20" s="7"/>
      <c r="P20" s="7"/>
      <c r="Q20" s="7"/>
      <c r="R20" s="7"/>
    </row>
    <row r="21" spans="1:18" x14ac:dyDescent="0.5">
      <c r="A21" s="7"/>
      <c r="B21" s="7"/>
      <c r="C21" s="7"/>
      <c r="D21" s="7"/>
      <c r="E21" s="7"/>
      <c r="F21" s="7"/>
      <c r="G21" s="7"/>
      <c r="H21" s="7"/>
      <c r="I21" s="7"/>
      <c r="J21" s="7"/>
      <c r="K21" s="7"/>
      <c r="L21" s="7"/>
      <c r="M21" s="7"/>
      <c r="N21" s="7"/>
      <c r="O21" s="7"/>
      <c r="P21" s="7"/>
      <c r="Q21" s="7"/>
      <c r="R21" s="7"/>
    </row>
    <row r="22" spans="1:18" x14ac:dyDescent="0.5">
      <c r="A22" s="7"/>
      <c r="B22" s="7"/>
      <c r="C22" s="7"/>
      <c r="D22" s="7"/>
      <c r="E22" s="7"/>
      <c r="F22" s="7"/>
      <c r="G22" s="7"/>
      <c r="H22" s="7"/>
      <c r="I22" s="7"/>
      <c r="J22" s="7"/>
      <c r="K22" s="7"/>
      <c r="L22" s="7"/>
      <c r="M22" s="7"/>
      <c r="N22" s="7"/>
      <c r="O22" s="7"/>
      <c r="P22" s="7"/>
      <c r="Q22" s="7"/>
      <c r="R22" s="7"/>
    </row>
    <row r="23" spans="1:18" x14ac:dyDescent="0.5">
      <c r="A23" s="7"/>
      <c r="B23" s="7"/>
      <c r="C23" s="7"/>
      <c r="D23" s="7"/>
      <c r="E23" s="7"/>
      <c r="F23" s="7"/>
      <c r="G23" s="7"/>
      <c r="H23" s="7"/>
      <c r="I23" s="7"/>
      <c r="J23" s="7"/>
      <c r="K23" s="7"/>
      <c r="L23" s="7"/>
      <c r="M23" s="7"/>
      <c r="N23" s="7"/>
      <c r="O23" s="7"/>
      <c r="P23" s="7"/>
      <c r="Q23" s="7"/>
      <c r="R23" s="7"/>
    </row>
    <row r="24" spans="1:18" x14ac:dyDescent="0.5">
      <c r="A24" s="7"/>
      <c r="B24" s="7"/>
      <c r="C24" s="7"/>
      <c r="D24" s="7"/>
      <c r="E24" s="7"/>
      <c r="F24" s="7"/>
      <c r="G24" s="7"/>
      <c r="H24" s="7"/>
      <c r="I24" s="7"/>
      <c r="J24" s="7"/>
      <c r="K24" s="7"/>
      <c r="L24" s="7"/>
      <c r="M24" s="7"/>
      <c r="N24" s="7"/>
      <c r="O24" s="7"/>
      <c r="P24" s="7"/>
      <c r="Q24" s="7"/>
      <c r="R24" s="7"/>
    </row>
    <row r="25" spans="1:18" x14ac:dyDescent="0.5">
      <c r="A25" s="7"/>
      <c r="B25" s="7"/>
      <c r="C25" s="7" t="s">
        <v>29</v>
      </c>
      <c r="D25" s="7"/>
      <c r="E25" s="7"/>
      <c r="F25" s="7"/>
      <c r="G25" s="7"/>
      <c r="H25" s="7"/>
      <c r="I25" s="7"/>
      <c r="J25" s="7"/>
      <c r="K25" s="7" t="s">
        <v>30</v>
      </c>
      <c r="L25" s="7"/>
      <c r="M25" s="7"/>
      <c r="N25" s="7"/>
      <c r="O25" s="7"/>
      <c r="P25" s="7"/>
      <c r="Q25" s="7"/>
      <c r="R25" s="7"/>
    </row>
    <row r="26" spans="1:18" x14ac:dyDescent="0.5">
      <c r="A26" s="7"/>
      <c r="B26" s="7"/>
      <c r="C26" s="7"/>
      <c r="D26" s="7"/>
      <c r="E26" s="7"/>
      <c r="F26" s="7"/>
      <c r="G26" s="7"/>
      <c r="H26" s="7"/>
      <c r="I26" s="7"/>
      <c r="J26" s="7"/>
      <c r="K26" s="7"/>
      <c r="L26" s="7"/>
      <c r="M26" s="7"/>
      <c r="N26" s="7"/>
      <c r="O26" s="7"/>
      <c r="P26" s="7"/>
      <c r="Q26" s="7"/>
      <c r="R26"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E03C8597-C355-4E1A-A977-88E0C7ABCBEF}">
  <ds:schemaRefs/>
</ds:datastoreItem>
</file>

<file path=customXml/itemProps2.xml><?xml version="1.0" encoding="utf-8"?>
<ds:datastoreItem xmlns:ds="http://schemas.openxmlformats.org/officeDocument/2006/customXml" ds:itemID="{3DA88DBF-F8EA-4E22-84CD-314109DB917A}">
  <ds:schemaRefs/>
</ds:datastoreItem>
</file>

<file path=customXml/itemProps3.xml><?xml version="1.0" encoding="utf-8"?>
<ds:datastoreItem xmlns:ds="http://schemas.openxmlformats.org/officeDocument/2006/customXml" ds:itemID="{57CDB5E4-EFDA-4DC5-8C41-A9337674BB97}">
  <ds:schemaRefs/>
</ds:datastoreItem>
</file>

<file path=customXml/itemProps4.xml><?xml version="1.0" encoding="utf-8"?>
<ds:datastoreItem xmlns:ds="http://schemas.openxmlformats.org/officeDocument/2006/customXml" ds:itemID="{6AABDB45-E40C-4A03-9333-94268E64D5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Sangwan</dc:creator>
  <cp:lastModifiedBy>Tushar Sangwan</cp:lastModifiedBy>
  <dcterms:created xsi:type="dcterms:W3CDTF">2026-07-11T14:07:57Z</dcterms:created>
  <dcterms:modified xsi:type="dcterms:W3CDTF">2026-07-20T05:23:47Z</dcterms:modified>
</cp:coreProperties>
</file>